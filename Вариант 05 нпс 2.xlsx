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definedNames>
    <definedName name="_xlnm._FilterDatabase" localSheetId="0" hidden="1">Данные!$Z$1:$AA$1001</definedName>
  </definedNames>
  <calcPr calcId="162913"/>
</workbook>
</file>

<file path=xl/calcChain.xml><?xml version="1.0" encoding="utf-8"?>
<calcChain xmlns="http://schemas.openxmlformats.org/spreadsheetml/2006/main">
  <c r="CC11" i="1" l="1"/>
  <c r="CN2" i="1"/>
  <c r="CO2" i="1"/>
  <c r="CP2" i="1"/>
  <c r="CQ2" i="1"/>
  <c r="CR2" i="1"/>
  <c r="CS2" i="1"/>
  <c r="CT2" i="1"/>
  <c r="CU2" i="1"/>
  <c r="CV2" i="1"/>
  <c r="CW2" i="1"/>
  <c r="CX2" i="1"/>
  <c r="CY2" i="1"/>
  <c r="CN3" i="1"/>
  <c r="CO3" i="1"/>
  <c r="CP3" i="1"/>
  <c r="CQ3" i="1"/>
  <c r="CR3" i="1"/>
  <c r="CS3" i="1"/>
  <c r="CT3" i="1"/>
  <c r="CU3" i="1"/>
  <c r="CV3" i="1"/>
  <c r="CW3" i="1"/>
  <c r="CX3" i="1"/>
  <c r="CN4" i="1"/>
  <c r="CO4" i="1"/>
  <c r="CP4" i="1"/>
  <c r="CQ4" i="1"/>
  <c r="CR4" i="1"/>
  <c r="CS4" i="1"/>
  <c r="CT4" i="1"/>
  <c r="CU4" i="1"/>
  <c r="CV4" i="1"/>
  <c r="CW4" i="1"/>
  <c r="CX4" i="1"/>
  <c r="CN5" i="1"/>
  <c r="CO5" i="1"/>
  <c r="CP5" i="1"/>
  <c r="CQ5" i="1"/>
  <c r="CR5" i="1"/>
  <c r="CS5" i="1"/>
  <c r="CT5" i="1"/>
  <c r="CU5" i="1"/>
  <c r="CV5" i="1"/>
  <c r="CW5" i="1"/>
  <c r="CX5" i="1"/>
  <c r="CN6" i="1"/>
  <c r="CO6" i="1"/>
  <c r="CP6" i="1"/>
  <c r="CQ6" i="1"/>
  <c r="CR6" i="1"/>
  <c r="CS6" i="1"/>
  <c r="CT6" i="1"/>
  <c r="CU6" i="1"/>
  <c r="CV6" i="1"/>
  <c r="CW6" i="1"/>
  <c r="CX6" i="1"/>
  <c r="CN7" i="1"/>
  <c r="CO7" i="1"/>
  <c r="CP7" i="1"/>
  <c r="CQ7" i="1"/>
  <c r="CR7" i="1"/>
  <c r="CS7" i="1"/>
  <c r="CT7" i="1"/>
  <c r="CU7" i="1"/>
  <c r="CV7" i="1"/>
  <c r="CW7" i="1"/>
  <c r="CX7" i="1"/>
  <c r="CN8" i="1"/>
  <c r="CO8" i="1"/>
  <c r="CP8" i="1"/>
  <c r="CQ8" i="1"/>
  <c r="CR8" i="1"/>
  <c r="CS8" i="1"/>
  <c r="CT8" i="1"/>
  <c r="CU8" i="1"/>
  <c r="CV8" i="1"/>
  <c r="CW8" i="1"/>
  <c r="CX8" i="1"/>
  <c r="CN9" i="1"/>
  <c r="CO9" i="1"/>
  <c r="CP9" i="1"/>
  <c r="CQ9" i="1"/>
  <c r="CR9" i="1"/>
  <c r="CS9" i="1"/>
  <c r="CT9" i="1"/>
  <c r="CU9" i="1"/>
  <c r="CV9" i="1"/>
  <c r="CW9" i="1"/>
  <c r="CX9" i="1"/>
  <c r="CY9" i="1"/>
  <c r="CN10" i="1"/>
  <c r="CO10" i="1"/>
  <c r="CP10" i="1"/>
  <c r="CQ10" i="1"/>
  <c r="CR10" i="1"/>
  <c r="CS10" i="1"/>
  <c r="CT10" i="1"/>
  <c r="CU10" i="1"/>
  <c r="CV10" i="1"/>
  <c r="CW10" i="1"/>
  <c r="CX10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N12" i="1"/>
  <c r="CO12" i="1"/>
  <c r="CP12" i="1"/>
  <c r="CQ12" i="1"/>
  <c r="CR12" i="1"/>
  <c r="CS12" i="1"/>
  <c r="CT12" i="1"/>
  <c r="CU12" i="1"/>
  <c r="CV12" i="1"/>
  <c r="CW12" i="1"/>
  <c r="CX12" i="1"/>
  <c r="CN13" i="1"/>
  <c r="CO13" i="1"/>
  <c r="CP13" i="1"/>
  <c r="CQ13" i="1"/>
  <c r="CR13" i="1"/>
  <c r="CS13" i="1"/>
  <c r="CT13" i="1"/>
  <c r="CU13" i="1"/>
  <c r="CV13" i="1"/>
  <c r="CW13" i="1"/>
  <c r="CX13" i="1"/>
  <c r="CM3" i="1"/>
  <c r="CM4" i="1"/>
  <c r="CM5" i="1"/>
  <c r="CM6" i="1"/>
  <c r="CM7" i="1"/>
  <c r="CM8" i="1"/>
  <c r="CM9" i="1"/>
  <c r="CM10" i="1"/>
  <c r="CM11" i="1"/>
  <c r="CM12" i="1"/>
  <c r="CM13" i="1"/>
  <c r="CM2" i="1"/>
  <c r="BR2" i="1"/>
  <c r="BS2" i="1"/>
  <c r="BT2" i="1"/>
  <c r="BU2" i="1"/>
  <c r="BV2" i="1"/>
  <c r="BW2" i="1"/>
  <c r="BX2" i="1"/>
  <c r="BY2" i="1"/>
  <c r="BZ2" i="1"/>
  <c r="CA2" i="1"/>
  <c r="CB2" i="1"/>
  <c r="CC2" i="1"/>
  <c r="BR3" i="1"/>
  <c r="BS3" i="1"/>
  <c r="BT3" i="1"/>
  <c r="BU3" i="1"/>
  <c r="BV3" i="1"/>
  <c r="BW3" i="1"/>
  <c r="BX3" i="1"/>
  <c r="BY3" i="1"/>
  <c r="BZ3" i="1"/>
  <c r="CA3" i="1"/>
  <c r="CB3" i="1"/>
  <c r="BR4" i="1"/>
  <c r="BS4" i="1"/>
  <c r="BT4" i="1"/>
  <c r="BU4" i="1"/>
  <c r="BV4" i="1"/>
  <c r="BW4" i="1"/>
  <c r="BX4" i="1"/>
  <c r="BY4" i="1"/>
  <c r="BZ4" i="1"/>
  <c r="CA4" i="1"/>
  <c r="CB4" i="1"/>
  <c r="BR5" i="1"/>
  <c r="BS5" i="1"/>
  <c r="BT5" i="1"/>
  <c r="BU5" i="1"/>
  <c r="BV5" i="1"/>
  <c r="BW5" i="1"/>
  <c r="BX5" i="1"/>
  <c r="BY5" i="1"/>
  <c r="BZ5" i="1"/>
  <c r="CA5" i="1"/>
  <c r="CB5" i="1"/>
  <c r="BR6" i="1"/>
  <c r="BS6" i="1"/>
  <c r="BT6" i="1"/>
  <c r="BU6" i="1"/>
  <c r="BV6" i="1"/>
  <c r="BW6" i="1"/>
  <c r="BX6" i="1"/>
  <c r="BY6" i="1"/>
  <c r="BZ6" i="1"/>
  <c r="CA6" i="1"/>
  <c r="CB6" i="1"/>
  <c r="BR7" i="1"/>
  <c r="BS7" i="1"/>
  <c r="BT7" i="1"/>
  <c r="BU7" i="1"/>
  <c r="BV7" i="1"/>
  <c r="BW7" i="1"/>
  <c r="BX7" i="1"/>
  <c r="BY7" i="1"/>
  <c r="BZ7" i="1"/>
  <c r="CA7" i="1"/>
  <c r="CB7" i="1"/>
  <c r="BR8" i="1"/>
  <c r="BS8" i="1"/>
  <c r="BT8" i="1"/>
  <c r="BU8" i="1"/>
  <c r="BV8" i="1"/>
  <c r="BW8" i="1"/>
  <c r="BX8" i="1"/>
  <c r="BY8" i="1"/>
  <c r="BZ8" i="1"/>
  <c r="CA8" i="1"/>
  <c r="CB8" i="1"/>
  <c r="BR9" i="1"/>
  <c r="BS9" i="1"/>
  <c r="BT9" i="1"/>
  <c r="BU9" i="1"/>
  <c r="BV9" i="1"/>
  <c r="BW9" i="1"/>
  <c r="BX9" i="1"/>
  <c r="BY9" i="1"/>
  <c r="BZ9" i="1"/>
  <c r="CA9" i="1"/>
  <c r="CB9" i="1"/>
  <c r="BR10" i="1"/>
  <c r="BS10" i="1"/>
  <c r="BT10" i="1"/>
  <c r="BU10" i="1"/>
  <c r="BV10" i="1"/>
  <c r="BW10" i="1"/>
  <c r="BX10" i="1"/>
  <c r="BY10" i="1"/>
  <c r="BZ10" i="1"/>
  <c r="CA10" i="1"/>
  <c r="CB10" i="1"/>
  <c r="BR11" i="1"/>
  <c r="BS11" i="1"/>
  <c r="BT11" i="1"/>
  <c r="BU11" i="1"/>
  <c r="BV11" i="1"/>
  <c r="BW11" i="1"/>
  <c r="BX11" i="1"/>
  <c r="BY11" i="1"/>
  <c r="BZ11" i="1"/>
  <c r="CA11" i="1"/>
  <c r="CB11" i="1"/>
  <c r="BR12" i="1"/>
  <c r="BS12" i="1"/>
  <c r="BT12" i="1"/>
  <c r="BU12" i="1"/>
  <c r="BV12" i="1"/>
  <c r="BW12" i="1"/>
  <c r="BX12" i="1"/>
  <c r="BY12" i="1"/>
  <c r="BZ12" i="1"/>
  <c r="CA12" i="1"/>
  <c r="CB12" i="1"/>
  <c r="BR13" i="1"/>
  <c r="BS13" i="1"/>
  <c r="BT13" i="1"/>
  <c r="BU13" i="1"/>
  <c r="BV13" i="1"/>
  <c r="BW13" i="1"/>
  <c r="BX13" i="1"/>
  <c r="BY13" i="1"/>
  <c r="BZ13" i="1"/>
  <c r="CA13" i="1"/>
  <c r="CB13" i="1"/>
  <c r="BQ3" i="1"/>
  <c r="BQ4" i="1"/>
  <c r="BQ5" i="1"/>
  <c r="BQ6" i="1"/>
  <c r="BQ7" i="1"/>
  <c r="BQ8" i="1"/>
  <c r="BQ9" i="1"/>
  <c r="BQ10" i="1"/>
  <c r="BQ11" i="1"/>
  <c r="BQ12" i="1"/>
  <c r="BQ13" i="1"/>
  <c r="BQ2" i="1"/>
  <c r="N2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L40" i="1"/>
  <c r="BL41" i="1"/>
  <c r="BL42" i="1"/>
  <c r="BL43" i="1"/>
  <c r="BL44" i="1"/>
  <c r="BL45" i="1"/>
  <c r="BL46" i="1"/>
  <c r="BL47" i="1"/>
  <c r="BL48" i="1"/>
  <c r="BL49" i="1"/>
  <c r="BL50" i="1"/>
  <c r="BL39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L27" i="1"/>
  <c r="BL23" i="1"/>
  <c r="BL24" i="1"/>
  <c r="BL25" i="1"/>
  <c r="BL26" i="1"/>
  <c r="BL28" i="1"/>
  <c r="BL29" i="1"/>
  <c r="BL30" i="1"/>
  <c r="BL31" i="1"/>
  <c r="BL32" i="1"/>
  <c r="BL33" i="1"/>
  <c r="BL22" i="1"/>
  <c r="AR3" i="1"/>
  <c r="AS2" i="1"/>
  <c r="AT2" i="1"/>
  <c r="AU2" i="1"/>
  <c r="AV2" i="1"/>
  <c r="AW2" i="1"/>
  <c r="AX2" i="1"/>
  <c r="AY2" i="1"/>
  <c r="AZ2" i="1"/>
  <c r="BA2" i="1"/>
  <c r="BB2" i="1"/>
  <c r="BC2" i="1"/>
  <c r="BD2" i="1"/>
  <c r="AS3" i="1"/>
  <c r="AT3" i="1"/>
  <c r="AU3" i="1"/>
  <c r="AV3" i="1"/>
  <c r="AW3" i="1"/>
  <c r="AX3" i="1"/>
  <c r="AY3" i="1"/>
  <c r="AZ3" i="1"/>
  <c r="BA3" i="1"/>
  <c r="BB3" i="1"/>
  <c r="BC3" i="1"/>
  <c r="BD3" i="1"/>
  <c r="AS4" i="1"/>
  <c r="AT4" i="1"/>
  <c r="AU4" i="1"/>
  <c r="AV4" i="1"/>
  <c r="AW4" i="1"/>
  <c r="AX4" i="1"/>
  <c r="AY4" i="1"/>
  <c r="AZ4" i="1"/>
  <c r="BA4" i="1"/>
  <c r="BB4" i="1"/>
  <c r="BC4" i="1"/>
  <c r="BD4" i="1"/>
  <c r="AS5" i="1"/>
  <c r="AT5" i="1"/>
  <c r="AU5" i="1"/>
  <c r="AV5" i="1"/>
  <c r="AW5" i="1"/>
  <c r="AX5" i="1"/>
  <c r="AY5" i="1"/>
  <c r="AZ5" i="1"/>
  <c r="BA5" i="1"/>
  <c r="BB5" i="1"/>
  <c r="BC5" i="1"/>
  <c r="BD5" i="1"/>
  <c r="AS6" i="1"/>
  <c r="AT6" i="1"/>
  <c r="AU6" i="1"/>
  <c r="AV6" i="1"/>
  <c r="AW6" i="1"/>
  <c r="AX6" i="1"/>
  <c r="AY6" i="1"/>
  <c r="AZ6" i="1"/>
  <c r="BA6" i="1"/>
  <c r="BB6" i="1"/>
  <c r="BC6" i="1"/>
  <c r="BD6" i="1"/>
  <c r="AS7" i="1"/>
  <c r="AT7" i="1"/>
  <c r="AU7" i="1"/>
  <c r="AV7" i="1"/>
  <c r="AW7" i="1"/>
  <c r="AX7" i="1"/>
  <c r="AY7" i="1"/>
  <c r="AZ7" i="1"/>
  <c r="BA7" i="1"/>
  <c r="BB7" i="1"/>
  <c r="BC7" i="1"/>
  <c r="BD7" i="1"/>
  <c r="AS8" i="1"/>
  <c r="AT8" i="1"/>
  <c r="AU8" i="1"/>
  <c r="AV8" i="1"/>
  <c r="AW8" i="1"/>
  <c r="AX8" i="1"/>
  <c r="AY8" i="1"/>
  <c r="AZ8" i="1"/>
  <c r="BA8" i="1"/>
  <c r="BB8" i="1"/>
  <c r="BC8" i="1"/>
  <c r="BD8" i="1"/>
  <c r="AS9" i="1"/>
  <c r="AT9" i="1"/>
  <c r="AU9" i="1"/>
  <c r="AV9" i="1"/>
  <c r="AW9" i="1"/>
  <c r="AX9" i="1"/>
  <c r="AY9" i="1"/>
  <c r="AZ9" i="1"/>
  <c r="BA9" i="1"/>
  <c r="BB9" i="1"/>
  <c r="BC9" i="1"/>
  <c r="BD9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AR4" i="1"/>
  <c r="AR5" i="1"/>
  <c r="AR6" i="1"/>
  <c r="AR7" i="1"/>
  <c r="AR8" i="1"/>
  <c r="AR9" i="1"/>
  <c r="AR10" i="1"/>
  <c r="AR11" i="1"/>
  <c r="AR12" i="1"/>
  <c r="AR13" i="1"/>
  <c r="AR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AN7" i="1"/>
  <c r="AN5" i="1"/>
  <c r="AN11" i="1"/>
  <c r="AN4" i="1"/>
  <c r="AN9" i="1"/>
  <c r="AN6" i="1"/>
  <c r="AN2" i="1"/>
  <c r="AN8" i="1"/>
  <c r="AN3" i="1"/>
  <c r="AN10" i="1"/>
  <c r="AM3" i="1"/>
  <c r="AM7" i="1"/>
  <c r="AM5" i="1"/>
  <c r="AM11" i="1"/>
  <c r="AM4" i="1"/>
  <c r="AM9" i="1"/>
  <c r="AM6" i="1"/>
  <c r="AM2" i="1"/>
  <c r="AM8" i="1"/>
  <c r="AM10" i="1"/>
  <c r="AJ187" i="1"/>
  <c r="AJ128" i="1"/>
  <c r="AJ188" i="1"/>
  <c r="AJ86" i="1"/>
  <c r="AJ168" i="1"/>
  <c r="AJ195" i="1"/>
  <c r="AJ129" i="1"/>
  <c r="AJ169" i="1"/>
  <c r="AJ170" i="1"/>
  <c r="AJ87" i="1"/>
  <c r="AJ130" i="1"/>
  <c r="AJ88" i="1"/>
  <c r="AJ89" i="1"/>
  <c r="AJ43" i="1"/>
  <c r="AJ131" i="1"/>
  <c r="AJ90" i="1"/>
  <c r="AJ19" i="1"/>
  <c r="AJ171" i="1"/>
  <c r="AJ44" i="1"/>
  <c r="AJ200" i="1"/>
  <c r="AJ132" i="1"/>
  <c r="AJ91" i="1"/>
  <c r="AJ92" i="1"/>
  <c r="AJ45" i="1"/>
  <c r="AJ133" i="1"/>
  <c r="AJ134" i="1"/>
  <c r="AJ135" i="1"/>
  <c r="AJ93" i="1"/>
  <c r="AJ196" i="1"/>
  <c r="AJ94" i="1"/>
  <c r="AJ172" i="1"/>
  <c r="AJ46" i="1"/>
  <c r="AJ95" i="1"/>
  <c r="AJ173" i="1"/>
  <c r="AJ136" i="1"/>
  <c r="AJ137" i="1"/>
  <c r="AJ20" i="1"/>
  <c r="AJ138" i="1"/>
  <c r="AJ96" i="1"/>
  <c r="AJ139" i="1"/>
  <c r="AJ47" i="1"/>
  <c r="AJ21" i="1"/>
  <c r="AJ140" i="1"/>
  <c r="AJ141" i="1"/>
  <c r="AJ48" i="1"/>
  <c r="AJ49" i="1"/>
  <c r="AJ174" i="1"/>
  <c r="AJ50" i="1"/>
  <c r="AJ142" i="1"/>
  <c r="AJ197" i="1"/>
  <c r="AJ198" i="1"/>
  <c r="AJ143" i="1"/>
  <c r="AJ2" i="1"/>
  <c r="AJ51" i="1"/>
  <c r="AJ97" i="1"/>
  <c r="AJ201" i="1"/>
  <c r="AJ98" i="1"/>
  <c r="AJ144" i="1"/>
  <c r="AJ52" i="1"/>
  <c r="AJ145" i="1"/>
  <c r="AJ99" i="1"/>
  <c r="AJ175" i="1"/>
  <c r="AJ22" i="1"/>
  <c r="AJ176" i="1"/>
  <c r="AJ199" i="1"/>
  <c r="AJ177" i="1"/>
  <c r="AJ23" i="1"/>
  <c r="AJ24" i="1"/>
  <c r="AJ178" i="1"/>
  <c r="AJ53" i="1"/>
  <c r="AJ100" i="1"/>
  <c r="AJ189" i="1"/>
  <c r="AJ101" i="1"/>
  <c r="AJ146" i="1"/>
  <c r="AJ147" i="1"/>
  <c r="AJ102" i="1"/>
  <c r="AJ103" i="1"/>
  <c r="AJ148" i="1"/>
  <c r="AJ149" i="1"/>
  <c r="AJ190" i="1"/>
  <c r="AJ150" i="1"/>
  <c r="AJ151" i="1"/>
  <c r="AJ25" i="1"/>
  <c r="AJ152" i="1"/>
  <c r="AJ153" i="1"/>
  <c r="AJ26" i="1"/>
  <c r="AJ104" i="1"/>
  <c r="AJ191" i="1"/>
  <c r="AJ179" i="1"/>
  <c r="AJ54" i="1"/>
  <c r="AJ105" i="1"/>
  <c r="AJ106" i="1"/>
  <c r="AJ107" i="1"/>
  <c r="AJ154" i="1"/>
  <c r="AJ155" i="1"/>
  <c r="AJ3" i="1"/>
  <c r="AJ180" i="1"/>
  <c r="AJ55" i="1"/>
  <c r="AJ56" i="1"/>
  <c r="AJ108" i="1"/>
  <c r="AJ57" i="1"/>
  <c r="AJ181" i="1"/>
  <c r="AJ156" i="1"/>
  <c r="AJ182" i="1"/>
  <c r="AJ58" i="1"/>
  <c r="AJ109" i="1"/>
  <c r="AJ59" i="1"/>
  <c r="AJ157" i="1"/>
  <c r="AJ192" i="1"/>
  <c r="AJ110" i="1"/>
  <c r="AJ111" i="1"/>
  <c r="AJ158" i="1"/>
  <c r="AJ112" i="1"/>
  <c r="AJ60" i="1"/>
  <c r="AJ193" i="1"/>
  <c r="AJ61" i="1"/>
  <c r="AJ183" i="1"/>
  <c r="AJ62" i="1"/>
  <c r="AJ184" i="1"/>
  <c r="AJ159" i="1"/>
  <c r="AJ113" i="1"/>
  <c r="AJ63" i="1"/>
  <c r="AJ160" i="1"/>
  <c r="AJ64" i="1"/>
  <c r="AJ65" i="1"/>
  <c r="AJ27" i="1"/>
  <c r="AJ28" i="1"/>
  <c r="AJ29" i="1"/>
  <c r="AJ66" i="1"/>
  <c r="AJ30" i="1"/>
  <c r="AJ114" i="1"/>
  <c r="AJ115" i="1"/>
  <c r="AJ185" i="1"/>
  <c r="AJ194" i="1"/>
  <c r="AJ67" i="1"/>
  <c r="AJ68" i="1"/>
  <c r="AJ69" i="1"/>
  <c r="AJ31" i="1"/>
  <c r="AJ161" i="1"/>
  <c r="AJ116" i="1"/>
  <c r="AJ70" i="1"/>
  <c r="AJ117" i="1"/>
  <c r="AJ118" i="1"/>
  <c r="AJ162" i="1"/>
  <c r="AJ4" i="1"/>
  <c r="AJ163" i="1"/>
  <c r="AJ5" i="1"/>
  <c r="AJ32" i="1"/>
  <c r="AJ119" i="1"/>
  <c r="AJ33" i="1"/>
  <c r="AJ71" i="1"/>
  <c r="AJ186" i="1"/>
  <c r="AJ6" i="1"/>
  <c r="AJ120" i="1"/>
  <c r="AJ164" i="1"/>
  <c r="AJ34" i="1"/>
  <c r="AJ165" i="1"/>
  <c r="AJ72" i="1"/>
  <c r="AJ121" i="1"/>
  <c r="AJ73" i="1"/>
  <c r="AJ74" i="1"/>
  <c r="AJ75" i="1"/>
  <c r="AJ166" i="1"/>
  <c r="AJ7" i="1"/>
  <c r="AJ8" i="1"/>
  <c r="AJ76" i="1"/>
  <c r="AJ9" i="1"/>
  <c r="AJ77" i="1"/>
  <c r="AJ10" i="1"/>
  <c r="AJ35" i="1"/>
  <c r="AJ78" i="1"/>
  <c r="AJ11" i="1"/>
  <c r="AJ122" i="1"/>
  <c r="AJ36" i="1"/>
  <c r="AJ79" i="1"/>
  <c r="AJ167" i="1"/>
  <c r="AJ123" i="1"/>
  <c r="AJ80" i="1"/>
  <c r="AJ124" i="1"/>
  <c r="AJ12" i="1"/>
  <c r="AJ37" i="1"/>
  <c r="AJ81" i="1"/>
  <c r="AJ38" i="1"/>
  <c r="AJ39" i="1"/>
  <c r="AJ82" i="1"/>
  <c r="AJ40" i="1"/>
  <c r="AJ13" i="1"/>
  <c r="AJ83" i="1"/>
  <c r="AJ125" i="1"/>
  <c r="AJ126" i="1"/>
  <c r="AJ14" i="1"/>
  <c r="AJ127" i="1"/>
  <c r="AJ15" i="1"/>
  <c r="AJ41" i="1"/>
  <c r="AJ16" i="1"/>
  <c r="AJ84" i="1"/>
  <c r="AJ17" i="1"/>
  <c r="AJ18" i="1"/>
  <c r="AJ42" i="1"/>
  <c r="AJ85" i="1"/>
  <c r="AE21" i="1"/>
  <c r="AE48" i="1"/>
  <c r="AE32" i="1"/>
  <c r="AE106" i="1"/>
  <c r="AE12" i="1"/>
  <c r="AE4" i="1"/>
  <c r="AE33" i="1"/>
  <c r="AE13" i="1"/>
  <c r="AE22" i="1"/>
  <c r="AE80" i="1"/>
  <c r="AE49" i="1"/>
  <c r="AE50" i="1"/>
  <c r="AE81" i="1"/>
  <c r="AE137" i="1"/>
  <c r="AE14" i="1"/>
  <c r="AE82" i="1"/>
  <c r="AE138" i="1"/>
  <c r="AE51" i="1"/>
  <c r="AE52" i="1"/>
  <c r="AE2" i="1"/>
  <c r="AE53" i="1"/>
  <c r="AE107" i="1"/>
  <c r="AE54" i="1"/>
  <c r="AE139" i="1"/>
  <c r="AE55" i="1"/>
  <c r="AE56" i="1"/>
  <c r="AE83" i="1"/>
  <c r="AE84" i="1"/>
  <c r="AE6" i="1"/>
  <c r="AE57" i="1"/>
  <c r="AE9" i="1"/>
  <c r="AE140" i="1"/>
  <c r="AE108" i="1"/>
  <c r="AE23" i="1"/>
  <c r="AE85" i="1"/>
  <c r="AE58" i="1"/>
  <c r="AE165" i="1"/>
  <c r="AE59" i="1"/>
  <c r="AE86" i="1"/>
  <c r="AE60" i="1"/>
  <c r="AE141" i="1"/>
  <c r="AE109" i="1"/>
  <c r="AE34" i="1"/>
  <c r="AE87" i="1"/>
  <c r="AE142" i="1"/>
  <c r="AE110" i="1"/>
  <c r="AE35" i="1"/>
  <c r="AE143" i="1"/>
  <c r="AE36" i="1"/>
  <c r="AE10" i="1"/>
  <c r="AE5" i="1"/>
  <c r="AE61" i="1"/>
  <c r="AE188" i="1"/>
  <c r="AE88" i="1"/>
  <c r="AE62" i="1"/>
  <c r="AE3" i="1"/>
  <c r="AE111" i="1"/>
  <c r="AE37" i="1"/>
  <c r="AE144" i="1"/>
  <c r="AE15" i="1"/>
  <c r="AE112" i="1"/>
  <c r="AE24" i="1"/>
  <c r="AE166" i="1"/>
  <c r="AE38" i="1"/>
  <c r="AE7" i="1"/>
  <c r="AE39" i="1"/>
  <c r="AE167" i="1"/>
  <c r="AE168" i="1"/>
  <c r="AE25" i="1"/>
  <c r="AE145" i="1"/>
  <c r="AE63" i="1"/>
  <c r="AE16" i="1"/>
  <c r="AE40" i="1"/>
  <c r="AE64" i="1"/>
  <c r="AE89" i="1"/>
  <c r="AE113" i="1"/>
  <c r="AE90" i="1"/>
  <c r="AE91" i="1"/>
  <c r="AE92" i="1"/>
  <c r="AE8" i="1"/>
  <c r="AE65" i="1"/>
  <c r="AE66" i="1"/>
  <c r="AE169" i="1"/>
  <c r="AE41" i="1"/>
  <c r="AE42" i="1"/>
  <c r="AE170" i="1"/>
  <c r="AE114" i="1"/>
  <c r="AE11" i="1"/>
  <c r="AE17" i="1"/>
  <c r="AE115" i="1"/>
  <c r="AE116" i="1"/>
  <c r="AE117" i="1"/>
  <c r="AE67" i="1"/>
  <c r="AE93" i="1"/>
  <c r="AE94" i="1"/>
  <c r="AE189" i="1"/>
  <c r="AE43" i="1"/>
  <c r="AE146" i="1"/>
  <c r="AE118" i="1"/>
  <c r="AE119" i="1"/>
  <c r="AE120" i="1"/>
  <c r="AE44" i="1"/>
  <c r="AE95" i="1"/>
  <c r="AE45" i="1"/>
  <c r="AE96" i="1"/>
  <c r="AE97" i="1"/>
  <c r="AE147" i="1"/>
  <c r="AE68" i="1"/>
  <c r="AE26" i="1"/>
  <c r="AE27" i="1"/>
  <c r="AE69" i="1"/>
  <c r="AE70" i="1"/>
  <c r="AE98" i="1"/>
  <c r="AE148" i="1"/>
  <c r="AE28" i="1"/>
  <c r="AE121" i="1"/>
  <c r="AE71" i="1"/>
  <c r="AE122" i="1"/>
  <c r="AE18" i="1"/>
  <c r="AE29" i="1"/>
  <c r="AE123" i="1"/>
  <c r="AE99" i="1"/>
  <c r="AE100" i="1"/>
  <c r="AE149" i="1"/>
  <c r="AE150" i="1"/>
  <c r="AE171" i="1"/>
  <c r="AE172" i="1"/>
  <c r="AE173" i="1"/>
  <c r="AE151" i="1"/>
  <c r="AE174" i="1"/>
  <c r="AE72" i="1"/>
  <c r="AE124" i="1"/>
  <c r="AE73" i="1"/>
  <c r="AE30" i="1"/>
  <c r="AE101" i="1"/>
  <c r="AE125" i="1"/>
  <c r="AE152" i="1"/>
  <c r="AE175" i="1"/>
  <c r="AE74" i="1"/>
  <c r="AE126" i="1"/>
  <c r="AE153" i="1"/>
  <c r="AE127" i="1"/>
  <c r="AE128" i="1"/>
  <c r="AE75" i="1"/>
  <c r="AE190" i="1"/>
  <c r="AE46" i="1"/>
  <c r="AE191" i="1"/>
  <c r="AE176" i="1"/>
  <c r="AE129" i="1"/>
  <c r="AE177" i="1"/>
  <c r="AE130" i="1"/>
  <c r="AE19" i="1"/>
  <c r="AE192" i="1"/>
  <c r="AE102" i="1"/>
  <c r="AE76" i="1"/>
  <c r="AE178" i="1"/>
  <c r="AE77" i="1"/>
  <c r="AE154" i="1"/>
  <c r="AE131" i="1"/>
  <c r="AE132" i="1"/>
  <c r="AE133" i="1"/>
  <c r="AE155" i="1"/>
  <c r="AE20" i="1"/>
  <c r="AE179" i="1"/>
  <c r="AE193" i="1"/>
  <c r="AE156" i="1"/>
  <c r="AE194" i="1"/>
  <c r="AE157" i="1"/>
  <c r="AE180" i="1"/>
  <c r="AE181" i="1"/>
  <c r="AE158" i="1"/>
  <c r="AE182" i="1"/>
  <c r="AE103" i="1"/>
  <c r="AE183" i="1"/>
  <c r="AE159" i="1"/>
  <c r="AE31" i="1"/>
  <c r="AE134" i="1"/>
  <c r="AE160" i="1"/>
  <c r="AE135" i="1"/>
  <c r="AE195" i="1"/>
  <c r="AE104" i="1"/>
  <c r="AE161" i="1"/>
  <c r="AE162" i="1"/>
  <c r="AE184" i="1"/>
  <c r="AE78" i="1"/>
  <c r="AE185" i="1"/>
  <c r="AE196" i="1"/>
  <c r="AE163" i="1"/>
  <c r="AE79" i="1"/>
  <c r="AE136" i="1"/>
  <c r="AE197" i="1"/>
  <c r="AE105" i="1"/>
  <c r="AE198" i="1"/>
  <c r="AE186" i="1"/>
  <c r="AE199" i="1"/>
  <c r="AE164" i="1"/>
  <c r="AE200" i="1"/>
  <c r="AE201" i="1"/>
  <c r="AE187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47" i="1"/>
  <c r="AD21" i="1"/>
  <c r="AD48" i="1"/>
  <c r="AD32" i="1"/>
  <c r="AD106" i="1"/>
  <c r="AD12" i="1"/>
  <c r="AD4" i="1"/>
  <c r="AD33" i="1"/>
  <c r="AD13" i="1"/>
  <c r="AD22" i="1"/>
  <c r="AD80" i="1"/>
  <c r="AD49" i="1"/>
  <c r="AD50" i="1"/>
  <c r="AD81" i="1"/>
  <c r="AD137" i="1"/>
  <c r="AD14" i="1"/>
  <c r="AD82" i="1"/>
  <c r="AD138" i="1"/>
  <c r="AD51" i="1"/>
  <c r="AD52" i="1"/>
  <c r="AD2" i="1"/>
  <c r="AD53" i="1"/>
  <c r="AD107" i="1"/>
  <c r="AD54" i="1"/>
  <c r="AD139" i="1"/>
  <c r="AD55" i="1"/>
  <c r="AD56" i="1"/>
  <c r="AD83" i="1"/>
  <c r="AD84" i="1"/>
  <c r="AD6" i="1"/>
  <c r="AD57" i="1"/>
  <c r="AD9" i="1"/>
  <c r="AD140" i="1"/>
  <c r="AD108" i="1"/>
  <c r="AD23" i="1"/>
  <c r="AD85" i="1"/>
  <c r="AD58" i="1"/>
  <c r="AD165" i="1"/>
  <c r="AD59" i="1"/>
  <c r="AD86" i="1"/>
  <c r="AD60" i="1"/>
  <c r="AD141" i="1"/>
  <c r="AD109" i="1"/>
  <c r="AD34" i="1"/>
  <c r="AD87" i="1"/>
  <c r="AD142" i="1"/>
  <c r="AD110" i="1"/>
  <c r="AD35" i="1"/>
  <c r="AD143" i="1"/>
  <c r="AD36" i="1"/>
  <c r="AD10" i="1"/>
  <c r="AD5" i="1"/>
  <c r="AD61" i="1"/>
  <c r="AD188" i="1"/>
  <c r="AD88" i="1"/>
  <c r="AD62" i="1"/>
  <c r="AD3" i="1"/>
  <c r="AD111" i="1"/>
  <c r="AD37" i="1"/>
  <c r="AD144" i="1"/>
  <c r="AD15" i="1"/>
  <c r="AD112" i="1"/>
  <c r="AD24" i="1"/>
  <c r="AD166" i="1"/>
  <c r="AD38" i="1"/>
  <c r="AD7" i="1"/>
  <c r="AD39" i="1"/>
  <c r="AD167" i="1"/>
  <c r="AD168" i="1"/>
  <c r="AD25" i="1"/>
  <c r="AD145" i="1"/>
  <c r="AD63" i="1"/>
  <c r="AD16" i="1"/>
  <c r="AD40" i="1"/>
  <c r="AD64" i="1"/>
  <c r="AD89" i="1"/>
  <c r="AD113" i="1"/>
  <c r="AD90" i="1"/>
  <c r="AD91" i="1"/>
  <c r="AD92" i="1"/>
  <c r="AD8" i="1"/>
  <c r="AD65" i="1"/>
  <c r="AD66" i="1"/>
  <c r="AD169" i="1"/>
  <c r="AD41" i="1"/>
  <c r="AD42" i="1"/>
  <c r="AD170" i="1"/>
  <c r="AD114" i="1"/>
  <c r="AD11" i="1"/>
  <c r="AD17" i="1"/>
  <c r="AD115" i="1"/>
  <c r="AD116" i="1"/>
  <c r="AD117" i="1"/>
  <c r="AD67" i="1"/>
  <c r="AD93" i="1"/>
  <c r="AD94" i="1"/>
  <c r="AD189" i="1"/>
  <c r="AD43" i="1"/>
  <c r="AD146" i="1"/>
  <c r="AD118" i="1"/>
  <c r="AD119" i="1"/>
  <c r="AD120" i="1"/>
  <c r="AD44" i="1"/>
  <c r="AD95" i="1"/>
  <c r="AD45" i="1"/>
  <c r="AD96" i="1"/>
  <c r="AD97" i="1"/>
  <c r="AD147" i="1"/>
  <c r="AD68" i="1"/>
  <c r="AD26" i="1"/>
  <c r="AD27" i="1"/>
  <c r="AD69" i="1"/>
  <c r="AD70" i="1"/>
  <c r="AD98" i="1"/>
  <c r="AD148" i="1"/>
  <c r="AD28" i="1"/>
  <c r="AD121" i="1"/>
  <c r="AD71" i="1"/>
  <c r="AD122" i="1"/>
  <c r="AD18" i="1"/>
  <c r="AD29" i="1"/>
  <c r="AD123" i="1"/>
  <c r="AD99" i="1"/>
  <c r="AD100" i="1"/>
  <c r="AD149" i="1"/>
  <c r="AD150" i="1"/>
  <c r="AD171" i="1"/>
  <c r="AD172" i="1"/>
  <c r="AD173" i="1"/>
  <c r="AD151" i="1"/>
  <c r="AD174" i="1"/>
  <c r="AD72" i="1"/>
  <c r="AD124" i="1"/>
  <c r="AD73" i="1"/>
  <c r="AD30" i="1"/>
  <c r="AD101" i="1"/>
  <c r="AD125" i="1"/>
  <c r="AD152" i="1"/>
  <c r="AD175" i="1"/>
  <c r="AD74" i="1"/>
  <c r="AD126" i="1"/>
  <c r="AD153" i="1"/>
  <c r="AD127" i="1"/>
  <c r="AD128" i="1"/>
  <c r="AD75" i="1"/>
  <c r="AD190" i="1"/>
  <c r="AD46" i="1"/>
  <c r="AD191" i="1"/>
  <c r="AD176" i="1"/>
  <c r="AD129" i="1"/>
  <c r="AD177" i="1"/>
  <c r="AD130" i="1"/>
  <c r="AD19" i="1"/>
  <c r="AD192" i="1"/>
  <c r="AD102" i="1"/>
  <c r="AD76" i="1"/>
  <c r="AD178" i="1"/>
  <c r="AD77" i="1"/>
  <c r="AD154" i="1"/>
  <c r="AD131" i="1"/>
  <c r="AD132" i="1"/>
  <c r="AD133" i="1"/>
  <c r="AD155" i="1"/>
  <c r="AD20" i="1"/>
  <c r="AD179" i="1"/>
  <c r="AD193" i="1"/>
  <c r="AD156" i="1"/>
  <c r="AD194" i="1"/>
  <c r="AD157" i="1"/>
  <c r="AD180" i="1"/>
  <c r="AD181" i="1"/>
  <c r="AD158" i="1"/>
  <c r="AD182" i="1"/>
  <c r="AD103" i="1"/>
  <c r="AD183" i="1"/>
  <c r="AD159" i="1"/>
  <c r="AD31" i="1"/>
  <c r="AD134" i="1"/>
  <c r="AD160" i="1"/>
  <c r="AD135" i="1"/>
  <c r="AD195" i="1"/>
  <c r="AD104" i="1"/>
  <c r="AD161" i="1"/>
  <c r="AD162" i="1"/>
  <c r="AD184" i="1"/>
  <c r="AD78" i="1"/>
  <c r="AD185" i="1"/>
  <c r="AD196" i="1"/>
  <c r="AD163" i="1"/>
  <c r="AD79" i="1"/>
  <c r="AD136" i="1"/>
  <c r="AD197" i="1"/>
  <c r="AD105" i="1"/>
  <c r="AD198" i="1"/>
  <c r="AD186" i="1"/>
  <c r="AD199" i="1"/>
  <c r="AD164" i="1"/>
  <c r="AD200" i="1"/>
  <c r="AD201" i="1"/>
  <c r="AD187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47" i="1"/>
  <c r="Z3" i="1"/>
  <c r="Z4" i="1"/>
  <c r="Z5" i="1"/>
  <c r="Z6" i="1"/>
  <c r="Z7" i="1"/>
  <c r="Z8" i="1"/>
  <c r="Z9" i="1"/>
  <c r="Z10" i="1"/>
  <c r="Z11" i="1"/>
  <c r="Z12" i="1"/>
  <c r="Z13" i="1"/>
  <c r="Z2" i="1"/>
  <c r="N3" i="1"/>
  <c r="N4" i="1"/>
  <c r="N5" i="1"/>
  <c r="N6" i="1"/>
  <c r="N7" i="1"/>
  <c r="N8" i="1"/>
  <c r="N9" i="1"/>
  <c r="N10" i="1"/>
  <c r="N11" i="1"/>
  <c r="N12" i="1"/>
  <c r="N13" i="1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<sst xmlns="http://schemas.openxmlformats.org/spreadsheetml/2006/main" count="13370" uniqueCount="525">
  <si>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</si>
  <si>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</si>
  <si>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</si>
  <si>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</si>
  <si>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</si>
  <si>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</si>
  <si>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Волкова Татьяна Алексеевна</t>
  </si>
  <si>
    <t>2023-09-01</t>
  </si>
  <si>
    <t>Иванова Анна Сергеевна</t>
  </si>
  <si>
    <t>Волкова Анна Ильинична</t>
  </si>
  <si>
    <t>Орлов Павел Денисович</t>
  </si>
  <si>
    <t>Орлова Светлана Андреевна</t>
  </si>
  <si>
    <t>Орлов Кирилл Егорович</t>
  </si>
  <si>
    <t>2023-09-04</t>
  </si>
  <si>
    <t>Яковлев Артем Игоревич</t>
  </si>
  <si>
    <t>Козлов Владимир Ильич</t>
  </si>
  <si>
    <t>Белов Алексей Константинович</t>
  </si>
  <si>
    <t>Лебедев Роман Никитич</t>
  </si>
  <si>
    <t>Егоров Кирилл Кириллович</t>
  </si>
  <si>
    <t>Васильева Ксения Андреевна</t>
  </si>
  <si>
    <t>Волков Михаил Никитич</t>
  </si>
  <si>
    <t>Громова Мария Ильинична</t>
  </si>
  <si>
    <t>Егоров Александр Геннадьевич</t>
  </si>
  <si>
    <t>2023-09-05</t>
  </si>
  <si>
    <t>Морозов Павел Андреевич</t>
  </si>
  <si>
    <t>Петрова Людмила Сергеевна</t>
  </si>
  <si>
    <t>Павлова Юлия Александровна</t>
  </si>
  <si>
    <t>Орлова Ксения Сергеевна</t>
  </si>
  <si>
    <t>2023-09-06</t>
  </si>
  <si>
    <t>Ткаченко Андрей Олегович</t>
  </si>
  <si>
    <t>Иванов Илья Дмитриевич</t>
  </si>
  <si>
    <t>Степанова Анна Александровна</t>
  </si>
  <si>
    <t>2023-09-07</t>
  </si>
  <si>
    <t>Сидоров Роман Иванович</t>
  </si>
  <si>
    <t>Орлова Светлана Юрьевна</t>
  </si>
  <si>
    <t>Семенова Ирина Валерьевна</t>
  </si>
  <si>
    <t>Егорова Ирина Артемовна</t>
  </si>
  <si>
    <t>Кузнецов Дмитрий Львович</t>
  </si>
  <si>
    <t>Орлов Иван Владимирович</t>
  </si>
  <si>
    <t>Егорова Мария Андреевна</t>
  </si>
  <si>
    <t>2023-09-08</t>
  </si>
  <si>
    <t>Петров Максим Александрович</t>
  </si>
  <si>
    <t>Алексеев Артур Сергеевич</t>
  </si>
  <si>
    <t>Федоров Никита Александрович</t>
  </si>
  <si>
    <t>Егоров Александр Егорович</t>
  </si>
  <si>
    <t>Лебедева Алиса Олеговна</t>
  </si>
  <si>
    <t>Степанова Ксения Романовна</t>
  </si>
  <si>
    <t>2023-09-11</t>
  </si>
  <si>
    <t>Павлова Ольга Юрьевна</t>
  </si>
  <si>
    <t>Семенов Максим Ильич</t>
  </si>
  <si>
    <t>Сидорова Ольга Алексеевна</t>
  </si>
  <si>
    <t>Орлова Ирина Павловна</t>
  </si>
  <si>
    <t>Николаева Татьяна Викторовна</t>
  </si>
  <si>
    <t>Новикова Ольга Петровна</t>
  </si>
  <si>
    <t>Кузнецов Максим Артемович</t>
  </si>
  <si>
    <t>Петров Владимир Кириллович</t>
  </si>
  <si>
    <t>Павлов Алексей Ильич</t>
  </si>
  <si>
    <t>2023-09-13</t>
  </si>
  <si>
    <t>Федорова Александра Кирилловна</t>
  </si>
  <si>
    <t>2023-09-15</t>
  </si>
  <si>
    <t>2023-09-18</t>
  </si>
  <si>
    <t>Новикова Анна Никитична</t>
  </si>
  <si>
    <t>Петров Роман Алексеевич</t>
  </si>
  <si>
    <t>Смирнова Татьяна Геннадьевна</t>
  </si>
  <si>
    <t>Козлов Матвей Кириллович</t>
  </si>
  <si>
    <t>Волкова Екатерина Егоровна</t>
  </si>
  <si>
    <t>Егорова Алиса Сергеевна</t>
  </si>
  <si>
    <t>2023-09-19</t>
  </si>
  <si>
    <t>Николаев Михаил Иванович</t>
  </si>
  <si>
    <t>Кузнецова Алиса Ивановна</t>
  </si>
  <si>
    <t>Новикова Наталья Никитична</t>
  </si>
  <si>
    <t>Смирнов Никита Артемович</t>
  </si>
  <si>
    <t>Алексеева Ксения Михайловна</t>
  </si>
  <si>
    <t>Егоров Никита Артемович</t>
  </si>
  <si>
    <t>2023-09-20</t>
  </si>
  <si>
    <t>Сидорова Елена Васильевна</t>
  </si>
  <si>
    <t>Степанова Полина Дмитриевна</t>
  </si>
  <si>
    <t>2023-09-21</t>
  </si>
  <si>
    <t>Иванова Вероника Геннадьевна</t>
  </si>
  <si>
    <t>Николаева Татьяна Александровна</t>
  </si>
  <si>
    <t>2023-09-22</t>
  </si>
  <si>
    <t>Николаева Татьяна Дмитриевна</t>
  </si>
  <si>
    <t>Федорова Мария Владимировна</t>
  </si>
  <si>
    <t>Сидоров Андрей Артемович</t>
  </si>
  <si>
    <t>Смирнов Роман Станиславович</t>
  </si>
  <si>
    <t>2023-09-25</t>
  </si>
  <si>
    <t>Новиков Роман Александрович</t>
  </si>
  <si>
    <t>Павлова Юлия Викторовна</t>
  </si>
  <si>
    <t>Егорова Анна Владимировна</t>
  </si>
  <si>
    <t>Егоров Илья Михайлович</t>
  </si>
  <si>
    <t>Семенова Юлия Геннадьевна</t>
  </si>
  <si>
    <t>Степанова Светлана Владимировна</t>
  </si>
  <si>
    <t>Степанов Артем Артемович</t>
  </si>
  <si>
    <t>2023-09-26</t>
  </si>
  <si>
    <t>Кузнецова Мария Дмитриевна</t>
  </si>
  <si>
    <t>Волков Георгий Артемович</t>
  </si>
  <si>
    <t>Семенов Артем Артемович</t>
  </si>
  <si>
    <t>2023-09-27</t>
  </si>
  <si>
    <t>Алексеева Елена Дмитриевна</t>
  </si>
  <si>
    <t>2023-09-28</t>
  </si>
  <si>
    <t>Попова Наталья Юрьевна</t>
  </si>
  <si>
    <t>Степанова Валерия Ильинична</t>
  </si>
  <si>
    <t>Волков Александр Сергеевич</t>
  </si>
  <si>
    <t>2023-09-29</t>
  </si>
  <si>
    <t>Егоров Константин Кириллович</t>
  </si>
  <si>
    <t>Степанов Артур Геннадьевич</t>
  </si>
  <si>
    <t>Лебедева Татьяна Станиславовна</t>
  </si>
  <si>
    <t>2023-10-02</t>
  </si>
  <si>
    <t>Павлов Павел Станиславович</t>
  </si>
  <si>
    <t>Морозова Ольга Дмитриевна</t>
  </si>
  <si>
    <t>Николаева Виктория Викторовна</t>
  </si>
  <si>
    <t>Васильев Дмитрий Павлович</t>
  </si>
  <si>
    <t>Волкова Татьяна Кирилловна</t>
  </si>
  <si>
    <t>Федоров Дмитрий Иванович</t>
  </si>
  <si>
    <t>2023-10-03</t>
  </si>
  <si>
    <t>Волков Егор Егорович</t>
  </si>
  <si>
    <t>Васильев Константин Кириллович</t>
  </si>
  <si>
    <t>2023-10-04</t>
  </si>
  <si>
    <t>Морозов Кирилл Романович</t>
  </si>
  <si>
    <t>Васильева Ольга Геннадьевна</t>
  </si>
  <si>
    <t>2023-10-05</t>
  </si>
  <si>
    <t>Орлов Сергей Сергеевич</t>
  </si>
  <si>
    <t>Васильева Александра Сергеевна</t>
  </si>
  <si>
    <t>Попова Вероника Ильинична</t>
  </si>
  <si>
    <t>2023-10-06</t>
  </si>
  <si>
    <t>Волков Георгий Романович</t>
  </si>
  <si>
    <t>2023-10-09</t>
  </si>
  <si>
    <t>Козлов Егор Романович</t>
  </si>
  <si>
    <t>Федоров Георгий Дмитриевич</t>
  </si>
  <si>
    <t>Петрова Валерия Романовна</t>
  </si>
  <si>
    <t>Васильев Александр Сергеевич</t>
  </si>
  <si>
    <t>Смирнов Георгий Дмитриевич</t>
  </si>
  <si>
    <t>Лебедева Мария Дмитриевна</t>
  </si>
  <si>
    <t>2023-10-11</t>
  </si>
  <si>
    <t>Смирнов Илья Ильич</t>
  </si>
  <si>
    <t>Орлов Кирилл Павлович</t>
  </si>
  <si>
    <t>2023-10-13</t>
  </si>
  <si>
    <t>Лебедева Елена Станиславовна</t>
  </si>
  <si>
    <t>Иванова Наталья Михайловна</t>
  </si>
  <si>
    <t>Морозов Дмитрий Владимирович</t>
  </si>
  <si>
    <t>2023-10-16</t>
  </si>
  <si>
    <t>Семенов Дмитрий Станиславович</t>
  </si>
  <si>
    <t>Петрова Ольга Владимировна</t>
  </si>
  <si>
    <t>Сидорова Екатерина Владимировна</t>
  </si>
  <si>
    <t>Смирнов Матвей Ильич</t>
  </si>
  <si>
    <t>Степанова Алиса Павловна</t>
  </si>
  <si>
    <t>2023-10-17</t>
  </si>
  <si>
    <t>Морозова Виктория Александровна</t>
  </si>
  <si>
    <t>2023-10-18</t>
  </si>
  <si>
    <t>Петров Алексей Владимирович</t>
  </si>
  <si>
    <t>2023-10-19</t>
  </si>
  <si>
    <t>Васильев Роман Алексеевич</t>
  </si>
  <si>
    <t>Николаев Константин Ильич</t>
  </si>
  <si>
    <t>2023-10-20</t>
  </si>
  <si>
    <t>2023-10-23</t>
  </si>
  <si>
    <t>Федорова Мария Артемовна</t>
  </si>
  <si>
    <t>Семенов Владимир Александрович</t>
  </si>
  <si>
    <t>2023-10-24</t>
  </si>
  <si>
    <t>Иванов Егор Михайлович</t>
  </si>
  <si>
    <t>Сидорова Елена Павловна</t>
  </si>
  <si>
    <t>Федоров Александр Юрьевич</t>
  </si>
  <si>
    <t>Волкова Ольга Владимировна</t>
  </si>
  <si>
    <t>2023-10-25</t>
  </si>
  <si>
    <t>Волков Георгий Иванович</t>
  </si>
  <si>
    <t>Егорова Ольга Александровна</t>
  </si>
  <si>
    <t>2023-10-26</t>
  </si>
  <si>
    <t>Петрова Алиса Михайловна</t>
  </si>
  <si>
    <t>2023-10-27</t>
  </si>
  <si>
    <t>2023-10-30</t>
  </si>
  <si>
    <t>Орлов Илья Никитич</t>
  </si>
  <si>
    <t>Васильева Ксения Геннадьевна</t>
  </si>
  <si>
    <t>Федоров Максим Егорович</t>
  </si>
  <si>
    <t>Волков Павел Андреевич</t>
  </si>
  <si>
    <t>2023-10-31</t>
  </si>
  <si>
    <t>Иванов Михаил Геннадьевич</t>
  </si>
  <si>
    <t>2023-11-01</t>
  </si>
  <si>
    <t>Смирнов Илья Дмитриевич</t>
  </si>
  <si>
    <t>Семенов Артур Никитич</t>
  </si>
  <si>
    <t>Орлова Людмила Алексеевна</t>
  </si>
  <si>
    <t>Павлов Кирилл Юрьевич</t>
  </si>
  <si>
    <t>Волков Владимир Михайлович</t>
  </si>
  <si>
    <t>Сидорова Наталья Олеговна</t>
  </si>
  <si>
    <t>2023-11-02</t>
  </si>
  <si>
    <t>Новиков Константин Станиславович</t>
  </si>
  <si>
    <t>2023-11-03</t>
  </si>
  <si>
    <t>Козлова Людмила Андреевна</t>
  </si>
  <si>
    <t>2023-11-06</t>
  </si>
  <si>
    <t>Морозов Андрей Егорович</t>
  </si>
  <si>
    <t>Иванов Михаил Дмитриевич</t>
  </si>
  <si>
    <t>Попов Максим Олегович</t>
  </si>
  <si>
    <t>Сидоров Никита Алексеевич</t>
  </si>
  <si>
    <t>2023-11-07</t>
  </si>
  <si>
    <t>Алексеева Ольга Сергеевна</t>
  </si>
  <si>
    <t>Николаев Алексей Кириллович</t>
  </si>
  <si>
    <t>Морозова Виктория Андреевна</t>
  </si>
  <si>
    <t>2023-11-08</t>
  </si>
  <si>
    <t>Морозова Ксения Ильинична</t>
  </si>
  <si>
    <t>Морозов Артем Юрьевич</t>
  </si>
  <si>
    <t>2023-11-09</t>
  </si>
  <si>
    <t>2023-11-10</t>
  </si>
  <si>
    <t>Николаев Артур Владимирович</t>
  </si>
  <si>
    <t>2023-11-13</t>
  </si>
  <si>
    <t>Николаев Георгий Викторович</t>
  </si>
  <si>
    <t>Смирнова Ирина Владимировна</t>
  </si>
  <si>
    <t>2023-11-15</t>
  </si>
  <si>
    <t>2023-11-16</t>
  </si>
  <si>
    <t>Иванова Полина Артемовна</t>
  </si>
  <si>
    <t>2023-11-17</t>
  </si>
  <si>
    <t>2023-11-20</t>
  </si>
  <si>
    <t>Волков Константин Кириллович</t>
  </si>
  <si>
    <t>Кузнецова Мария Артемовна</t>
  </si>
  <si>
    <t>Павлова София Юрьевна</t>
  </si>
  <si>
    <t>2023-11-21</t>
  </si>
  <si>
    <t>Васильева Алиса Андреевна</t>
  </si>
  <si>
    <t>Сидоров Кирилл Александрович</t>
  </si>
  <si>
    <t>2023-11-22</t>
  </si>
  <si>
    <t>2023-11-23</t>
  </si>
  <si>
    <t>2023-11-24</t>
  </si>
  <si>
    <t>2023-11-27</t>
  </si>
  <si>
    <t>Новиков Сергей Алексеевич</t>
  </si>
  <si>
    <t>Кузнецов Владимир Алексеевич</t>
  </si>
  <si>
    <t>2023-11-28</t>
  </si>
  <si>
    <t>2023-11-29</t>
  </si>
  <si>
    <t>Федорова София Ивановна</t>
  </si>
  <si>
    <t>Петров Артем Александрович</t>
  </si>
  <si>
    <t>Кузнецов Артем Дмитриевич</t>
  </si>
  <si>
    <t>2023-11-30</t>
  </si>
  <si>
    <t>Морозов Георгий Сергеевич</t>
  </si>
  <si>
    <t>2023-12-01</t>
  </si>
  <si>
    <t>Лебедев Александр Андреевич</t>
  </si>
  <si>
    <t>2023-12-04</t>
  </si>
  <si>
    <t>Козлова Ольга Михайловна</t>
  </si>
  <si>
    <t>Новиков Дмитрий Артемович</t>
  </si>
  <si>
    <t>2023-12-05</t>
  </si>
  <si>
    <t>Егорова Дарья Кирилловна</t>
  </si>
  <si>
    <t>2023-12-06</t>
  </si>
  <si>
    <t>2023-12-07</t>
  </si>
  <si>
    <t>Волков Сергей Алексеевич</t>
  </si>
  <si>
    <t>2023-12-08</t>
  </si>
  <si>
    <t>Волков Артур Геннадьевич</t>
  </si>
  <si>
    <t>2023-12-11</t>
  </si>
  <si>
    <t>2023-12-12</t>
  </si>
  <si>
    <t>Попов Георгий Владимирович</t>
  </si>
  <si>
    <t>2023-12-13</t>
  </si>
  <si>
    <t>Петрова Ольга Ивановна</t>
  </si>
  <si>
    <t>2023-12-14</t>
  </si>
  <si>
    <t>2023-12-15</t>
  </si>
  <si>
    <t>Петров Артем Михайлович</t>
  </si>
  <si>
    <t>2023-12-18</t>
  </si>
  <si>
    <t>Павлова Александра Геннадьевна</t>
  </si>
  <si>
    <t>2023-12-19</t>
  </si>
  <si>
    <t>Иванова София Павловна</t>
  </si>
  <si>
    <t>2023-12-20</t>
  </si>
  <si>
    <t>Смирнова София Кирилловна</t>
  </si>
  <si>
    <t>2023-12-21</t>
  </si>
  <si>
    <t>Морозова Людмила Владимировна</t>
  </si>
  <si>
    <t>2023-12-22</t>
  </si>
  <si>
    <t>2023-12-25</t>
  </si>
  <si>
    <t>Смирнов Константин Станиславович</t>
  </si>
  <si>
    <t>2023-12-26</t>
  </si>
  <si>
    <t>2023-12-27</t>
  </si>
  <si>
    <t>Попова Александра Павловна</t>
  </si>
  <si>
    <t>2023-12-28</t>
  </si>
  <si>
    <t>Орлов Артур Викторович</t>
  </si>
  <si>
    <t>2023-12-29</t>
  </si>
  <si>
    <t>2024-01-01</t>
  </si>
  <si>
    <t>Иванова Александра Дмитриевна</t>
  </si>
  <si>
    <t>2024-01-02</t>
  </si>
  <si>
    <t>Степанова Вероника Юрьевна</t>
  </si>
  <si>
    <t>2024-01-03</t>
  </si>
  <si>
    <t>2024-01-04</t>
  </si>
  <si>
    <t>2024-01-05</t>
  </si>
  <si>
    <t>2024-01-08</t>
  </si>
  <si>
    <t>Сидорова Анна Михайловна</t>
  </si>
  <si>
    <t>2024-01-09</t>
  </si>
  <si>
    <t>Федорова Валерия Владимировна</t>
  </si>
  <si>
    <t>2024-01-10</t>
  </si>
  <si>
    <t>2024-01-11</t>
  </si>
  <si>
    <t>2024-01-12</t>
  </si>
  <si>
    <t>2024-01-15</t>
  </si>
  <si>
    <t>Алексеев Максим Викторович</t>
  </si>
  <si>
    <t>Морозов Андрей Михайлович</t>
  </si>
  <si>
    <t>2024-01-16</t>
  </si>
  <si>
    <t>2024-01-17</t>
  </si>
  <si>
    <t>Егорова Екатерина Дмитриевна</t>
  </si>
  <si>
    <t>2024-01-18</t>
  </si>
  <si>
    <t>2024-01-22</t>
  </si>
  <si>
    <t>Васильев Александр Дмитриевич</t>
  </si>
  <si>
    <t>2024-01-23</t>
  </si>
  <si>
    <t>2024-01-24</t>
  </si>
  <si>
    <t>2024-01-25</t>
  </si>
  <si>
    <t>2024-01-26</t>
  </si>
  <si>
    <t>2024-01-29</t>
  </si>
  <si>
    <t>Волков Алексей Станиславович</t>
  </si>
  <si>
    <t>2024-01-30</t>
  </si>
  <si>
    <t>Сидоров Дмитрий Ильич</t>
  </si>
  <si>
    <t>2024-02-01</t>
  </si>
  <si>
    <t>Степанова Елена Алексеевна</t>
  </si>
  <si>
    <t>2024-02-02</t>
  </si>
  <si>
    <t>2024-02-05</t>
  </si>
  <si>
    <t>Семенова Наталья Андреевна</t>
  </si>
  <si>
    <t>Попов Константин Артемович</t>
  </si>
  <si>
    <t>2024-02-06</t>
  </si>
  <si>
    <t>2024-02-07</t>
  </si>
  <si>
    <t>2024-02-09</t>
  </si>
  <si>
    <t>Павлова Мария Михайловна</t>
  </si>
  <si>
    <t>Попова Ксения Ильинична</t>
  </si>
  <si>
    <t>2024-02-12</t>
  </si>
  <si>
    <t>Волкова Вероника Михайловна</t>
  </si>
  <si>
    <t>2024-02-13</t>
  </si>
  <si>
    <t>2024-02-14</t>
  </si>
  <si>
    <t>2024-02-15</t>
  </si>
  <si>
    <t>2024-02-16</t>
  </si>
  <si>
    <t>2024-02-19</t>
  </si>
  <si>
    <t>Морозова Анна Александровна</t>
  </si>
  <si>
    <t>2024-02-20</t>
  </si>
  <si>
    <t>2024-02-21</t>
  </si>
  <si>
    <t>2024-02-23</t>
  </si>
  <si>
    <t>2024-02-26</t>
  </si>
  <si>
    <t>Волков Алексей Алексеевич</t>
  </si>
  <si>
    <t>2024-02-27</t>
  </si>
  <si>
    <t>Орлов Владимир Михайлович</t>
  </si>
  <si>
    <t>2024-02-28</t>
  </si>
  <si>
    <t>2024-02-29</t>
  </si>
  <si>
    <t>2024-03-04</t>
  </si>
  <si>
    <t>Попова Ксения Артемовна</t>
  </si>
  <si>
    <t>2024-03-05</t>
  </si>
  <si>
    <t>Степанов Иван Кириллович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</si>
  <si>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</si>
  <si>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</si>
  <si>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</si>
  <si>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</si>
  <si>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</si>
  <si>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</si>
  <si>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</si>
  <si>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</si>
  <si>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</si>
  <si>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Павлов Артем Сергеевич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</si>
  <si>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</si>
  <si>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</si>
  <si>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</si>
  <si>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</si>
  <si>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</si>
  <si>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</si>
  <si>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</si>
  <si>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</si>
  <si>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</si>
  <si>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Попова Екатерина Станиславовна</t>
  </si>
  <si>
    <t>2024-04-01</t>
  </si>
  <si>
    <t>2024-04-02</t>
  </si>
  <si>
    <t>2024-04-03</t>
  </si>
  <si>
    <t>2024-04-05</t>
  </si>
  <si>
    <t>2024-04-08</t>
  </si>
  <si>
    <t>Новикова Ксения Александровна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</si>
  <si>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</si>
  <si>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</si>
  <si>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</si>
  <si>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</si>
  <si>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</si>
  <si>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</si>
  <si>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</si>
  <si>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Козлов Иван Геннадьевич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</si>
  <si>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</si>
  <si>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</si>
  <si>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</si>
  <si>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</si>
  <si>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</si>
  <si>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</si>
  <si>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</si>
  <si>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</si>
  <si>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Федорова Юлия Ильинична</t>
  </si>
  <si>
    <t>Степанов Алексей Алексеевич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</si>
  <si>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</si>
  <si>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</si>
  <si>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</si>
  <si>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</si>
  <si>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</si>
  <si>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</si>
  <si>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</si>
  <si>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</si>
  <si>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</si>
  <si>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</si>
  <si>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</si>
  <si>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</si>
  <si>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2024-05-17</t>
  </si>
  <si>
    <t>Орлов Павел Ильич</t>
  </si>
  <si>
    <t>2024-05-20</t>
  </si>
  <si>
    <t>2024-05-21</t>
  </si>
  <si>
    <t>2024-05-22</t>
  </si>
  <si>
    <t>2024-05-23</t>
  </si>
  <si>
    <t>2024-05-24</t>
  </si>
  <si>
    <t>Орлова Елена Алексеевна</t>
  </si>
  <si>
    <t>2024-05-27</t>
  </si>
  <si>
    <t>Петров Алексей Кириллович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</si>
  <si>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</si>
  <si>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</si>
  <si>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</si>
  <si>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</si>
  <si>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</si>
  <si>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</si>
  <si>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</si>
  <si>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</si>
  <si>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</si>
  <si>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</si>
  <si>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</si>
  <si>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Орлова Екатерина Романовна</t>
  </si>
  <si>
    <t>2024-06-13</t>
  </si>
  <si>
    <t>2024-06-17</t>
  </si>
  <si>
    <t>2024-06-18</t>
  </si>
  <si>
    <t>Лебедева София Геннадьевна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</si>
  <si>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</si>
  <si>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</si>
  <si>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</si>
  <si>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</si>
  <si>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</si>
  <si>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</si>
  <si>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</si>
  <si>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</si>
  <si>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Орлова София Егоровна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</si>
  <si>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</si>
  <si>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</si>
  <si>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</si>
  <si>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</si>
  <si>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</si>
  <si>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</si>
  <si>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</si>
  <si>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</si>
  <si>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</si>
  <si>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</si>
  <si>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</si>
  <si>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</si>
  <si>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</si>
  <si>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</si>
  <si>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</si>
  <si>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</si>
  <si>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</si>
  <si>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</si>
  <si>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</si>
  <si>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</si>
  <si>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</si>
  <si>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</si>
  <si>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</si>
  <si>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</si>
  <si>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</si>
  <si>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</si>
  <si>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</si>
  <si>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</si>
  <si>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</si>
  <si>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</si>
  <si>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</si>
  <si>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</si>
  <si>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</si>
  <si>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</si>
  <si>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</si>
  <si>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</si>
  <si>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</si>
  <si>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</si>
  <si>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</si>
  <si>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</si>
  <si>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</si>
  <si>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</si>
  <si>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</si>
  <si>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</si>
  <si>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</si>
  <si>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</si>
  <si>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</si>
  <si>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</si>
  <si>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</si>
  <si>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</si>
  <si>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</si>
  <si>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</si>
  <si>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</si>
  <si>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</si>
  <si>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</si>
  <si>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</si>
  <si>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</si>
  <si>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</si>
  <si>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</si>
  <si>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</si>
  <si>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</si>
  <si>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</si>
  <si>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</si>
  <si>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</si>
  <si>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</si>
  <si>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</si>
  <si>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</si>
  <si>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</si>
  <si>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</si>
  <si>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</si>
  <si>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</si>
  <si>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</si>
  <si>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</si>
  <si>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</si>
  <si>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</si>
  <si>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</si>
  <si>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</si>
  <si>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</si>
  <si>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</si>
  <si>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</si>
  <si>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</si>
  <si>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</si>
  <si>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</si>
  <si>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</si>
  <si>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</si>
  <si>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</si>
  <si>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</si>
  <si>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</si>
  <si>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</si>
  <si>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</si>
  <si>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</si>
  <si>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</si>
  <si>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</si>
  <si>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>количество</t>
  </si>
  <si>
    <t>сумма</t>
  </si>
  <si>
    <t>критики</t>
  </si>
  <si>
    <t>промики</t>
  </si>
  <si>
    <t>Квасов Иван Дмитриевич</t>
  </si>
  <si>
    <t xml:space="preserve"> </t>
  </si>
  <si>
    <t>фио</t>
  </si>
  <si>
    <t>сум</t>
  </si>
  <si>
    <t>кнт</t>
  </si>
  <si>
    <t>дд</t>
  </si>
  <si>
    <t>дата</t>
  </si>
  <si>
    <t>крит</t>
  </si>
  <si>
    <t>пром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</si>
</sst>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10" fontId="0" fillId="0" borderId="0" xfId="0" applyNumberFormat="1"/>
    <xf numFmtId="2" fontId="0" fillId="0" borderId="0" xfId="0" applyNumberFormat="1"/>
    <xf numFmtId="2" fontId="1" fillId="0" borderId="2" xfId="0" applyNumberFormat="1" applyFont="1" applyFill="1" applyBorder="1" applyAlignment="1">
      <alignment horizontal="center" vertical="top"/>
    </xf>
    <xf numFmtId="2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001"/>
  <sheetViews>
    <sheetView topLeftCell="CI1" workbookViewId="0">
      <selection activeCell="CY13" sqref="CM2:CY13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  <col min="6" max="6" width="9.140625" style="24"/>
    <col min="7" max="8" width="33" customWidth="1"/>
    <col min="15" max="16" width="33" customWidth="1"/>
    <col min="17" max="17" width="5" customWidth="1"/>
    <col min="20" max="20" width="33" customWidth="1"/>
    <col min="21" max="21" width="12" customWidth="1"/>
    <col min="23" max="23" width="33" customWidth="1"/>
    <col min="24" max="24" width="12" customWidth="1"/>
    <col min="26" max="26" width="33" customWidth="1"/>
    <col min="27" max="27" width="15" customWidth="1"/>
    <col min="28" max="29" width="33" customWidth="1"/>
    <col min="33" max="35" width="33" customWidth="1"/>
    <col min="38" max="38" width="35.42578125" customWidth="1"/>
    <col min="43" max="43" width="37" customWidth="1"/>
    <col min="58" max="59" width="33" customWidth="1"/>
    <col min="60" max="60" width="5" customWidth="1"/>
    <col min="61" max="61" width="12" customWidth="1"/>
    <col min="63" max="63" width="29.85546875" customWidth="1"/>
    <col min="68" max="68" width="36.5703125" customWidth="1"/>
    <col min="85" max="86" width="33" customWidth="1"/>
    <col min="87" max="87" width="15" customWidth="1"/>
    <col min="88" max="88" width="12" customWidth="1"/>
    <col min="90" max="90" width="30.7109375" customWidth="1"/>
    <col min="91" max="91" width="11.140625" bestFit="1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521</v>
      </c>
      <c r="G1" s="1"/>
      <c r="H1" s="1" t="s">
        <v>0</v>
      </c>
      <c r="I1" s="22" t="s">
        <v>512</v>
      </c>
      <c r="J1" s="22" t="s">
        <v>513</v>
      </c>
      <c r="K1" s="22" t="s">
        <v>514</v>
      </c>
      <c r="L1" s="22" t="s">
        <v>515</v>
      </c>
      <c r="O1" s="1" t="s">
        <v>0</v>
      </c>
      <c r="P1" s="1" t="s">
        <v>1</v>
      </c>
      <c r="Q1" s="1" t="s">
        <v>4</v>
      </c>
      <c r="T1" s="1" t="s">
        <v>0</v>
      </c>
      <c r="U1" s="1" t="s">
        <v>2</v>
      </c>
      <c r="W1" s="1" t="s">
        <v>0</v>
      </c>
      <c r="X1" s="1" t="s">
        <v>2</v>
      </c>
      <c r="Z1" s="1"/>
      <c r="AA1" s="1" t="s">
        <v>3</v>
      </c>
      <c r="AB1" s="1" t="s">
        <v>1</v>
      </c>
      <c r="AC1" s="1" t="s">
        <v>1</v>
      </c>
      <c r="AG1" s="1" t="s">
        <v>0</v>
      </c>
      <c r="AH1" s="1" t="s">
        <v>1</v>
      </c>
      <c r="AI1" s="1" t="s">
        <v>1</v>
      </c>
      <c r="AL1" s="22" t="s">
        <v>518</v>
      </c>
      <c r="AM1" s="22" t="s">
        <v>519</v>
      </c>
      <c r="AN1" s="22" t="s">
        <v>520</v>
      </c>
      <c r="AQ1" s="17" t="s">
        <v>466</v>
      </c>
      <c r="AR1" s="7" t="s">
        <v>496</v>
      </c>
      <c r="AS1" s="7" t="s">
        <v>497</v>
      </c>
      <c r="AT1" s="7" t="s">
        <v>498</v>
      </c>
      <c r="AU1" s="7" t="s">
        <v>499</v>
      </c>
      <c r="AV1" s="7" t="s">
        <v>500</v>
      </c>
      <c r="AW1" s="7" t="s">
        <v>501</v>
      </c>
      <c r="AX1" s="7" t="s">
        <v>502</v>
      </c>
      <c r="AY1" s="7" t="s">
        <v>503</v>
      </c>
      <c r="AZ1" s="7" t="s">
        <v>504</v>
      </c>
      <c r="BA1" s="7" t="s">
        <v>505</v>
      </c>
      <c r="BB1" s="7" t="s">
        <v>506</v>
      </c>
      <c r="BC1" s="7" t="s">
        <v>507</v>
      </c>
      <c r="BD1" s="7" t="s">
        <v>508</v>
      </c>
      <c r="BF1" s="1" t="s">
        <v>1</v>
      </c>
      <c r="BG1" s="1" t="s">
        <v>0</v>
      </c>
      <c r="BH1" s="1" t="s">
        <v>4</v>
      </c>
      <c r="BI1" s="1" t="s">
        <v>522</v>
      </c>
      <c r="BP1" s="17" t="s">
        <v>466</v>
      </c>
      <c r="BQ1" s="6" t="s">
        <v>496</v>
      </c>
      <c r="BR1" s="6" t="s">
        <v>497</v>
      </c>
      <c r="BS1" s="6" t="s">
        <v>498</v>
      </c>
      <c r="BT1" s="6" t="s">
        <v>499</v>
      </c>
      <c r="BU1" s="6" t="s">
        <v>500</v>
      </c>
      <c r="BV1" s="6" t="s">
        <v>501</v>
      </c>
      <c r="BW1" s="6" t="s">
        <v>502</v>
      </c>
      <c r="BX1" s="6" t="s">
        <v>503</v>
      </c>
      <c r="BY1" s="6" t="s">
        <v>504</v>
      </c>
      <c r="BZ1" s="6" t="s">
        <v>505</v>
      </c>
      <c r="CA1" s="6" t="s">
        <v>506</v>
      </c>
      <c r="CB1" s="6" t="s">
        <v>507</v>
      </c>
      <c r="CC1" s="6" t="s">
        <v>508</v>
      </c>
      <c r="CG1" s="1" t="s">
        <v>0</v>
      </c>
      <c r="CH1" s="1" t="s">
        <v>1</v>
      </c>
      <c r="CI1" s="1" t="s">
        <v>3</v>
      </c>
      <c r="CJ1" s="1" t="s">
        <v>522</v>
      </c>
      <c r="CL1" s="17" t="s">
        <v>466</v>
      </c>
      <c r="CM1" s="6" t="s">
        <v>496</v>
      </c>
      <c r="CN1" s="6" t="s">
        <v>497</v>
      </c>
      <c r="CO1" s="6" t="s">
        <v>498</v>
      </c>
      <c r="CP1" s="6" t="s">
        <v>499</v>
      </c>
      <c r="CQ1" s="6" t="s">
        <v>500</v>
      </c>
      <c r="CR1" s="6" t="s">
        <v>501</v>
      </c>
      <c r="CS1" s="6" t="s">
        <v>502</v>
      </c>
      <c r="CT1" s="6" t="s">
        <v>503</v>
      </c>
      <c r="CU1" s="6" t="s">
        <v>504</v>
      </c>
      <c r="CV1" s="6" t="s">
        <v>505</v>
      </c>
      <c r="CW1" s="6" t="s">
        <v>506</v>
      </c>
      <c r="CX1" s="6" t="s">
        <v>507</v>
      </c>
      <c r="CY1" s="6" t="s">
        <v>508</v>
      </c>
    </row>
    <row r="2" spans="1:103" x14ac:dyDescent="0.25">
      <c r="A2" t="s">
        <v>5</v>
      </c>
      <c r="B2" t="s">
        <v>6</v>
      </c>
      <c r="C2" t="s">
        <v>7</v>
      </c>
      <c r="D2">
        <v>94147</v>
      </c>
      <c r="E2">
        <v>7</v>
      </c>
      <c r="F2" s="24" t="str">
        <f>YEAR(C2)&amp;"-"&amp;MONTH(C2)</f>
        <v>2023-9</v>
      </c>
      <c r="H2" t="s">
        <v>5</v>
      </c>
      <c r="I2">
        <f>COUNTIF(A:A,H2)</f>
        <v>95</v>
      </c>
      <c r="J2">
        <f>SUMIF(A:A,H2,D:D)</f>
        <v>5209790</v>
      </c>
      <c r="K2">
        <f>COUNTIFS(O:O,H2,Q:Q,"&lt;7")</f>
        <v>40</v>
      </c>
      <c r="L2">
        <f>COUNTIFS(O:O,H2,Q:Q,"&gt;8")</f>
        <v>12</v>
      </c>
      <c r="M2">
        <f>COUNTIF(O:O,H2)</f>
        <v>72</v>
      </c>
      <c r="N2" s="23">
        <f>(L2-K2)/M2</f>
        <v>-0.3888888888888889</v>
      </c>
      <c r="O2" t="s">
        <v>5</v>
      </c>
      <c r="P2" t="s">
        <v>6</v>
      </c>
      <c r="Q2">
        <v>7</v>
      </c>
      <c r="T2" t="s">
        <v>16</v>
      </c>
      <c r="U2" t="s">
        <v>13</v>
      </c>
      <c r="W2" t="s">
        <v>16</v>
      </c>
      <c r="X2" t="s">
        <v>462</v>
      </c>
      <c r="Z2">
        <f>X2-U2</f>
        <v>364</v>
      </c>
      <c r="AA2">
        <v>94147</v>
      </c>
      <c r="AB2" t="s">
        <v>38</v>
      </c>
      <c r="AC2" t="s">
        <v>39</v>
      </c>
      <c r="AD2">
        <f t="shared" ref="AD2:AD65" si="0">COUNTIF(AB:AB,AC2)</f>
        <v>19</v>
      </c>
      <c r="AE2">
        <f t="shared" ref="AE2:AE65" si="1">SUMIF(AB:AB,AC2,AA:AA)</f>
        <v>1114311</v>
      </c>
      <c r="AG2" t="s">
        <v>5</v>
      </c>
      <c r="AH2" t="s">
        <v>6</v>
      </c>
      <c r="AI2" t="s">
        <v>84</v>
      </c>
      <c r="AJ2">
        <f t="shared" ref="AJ2:AJ33" si="2">COUNTIF(AH:AH,AI2)</f>
        <v>1</v>
      </c>
      <c r="AL2" t="s">
        <v>266</v>
      </c>
      <c r="AM2">
        <f t="shared" ref="AM2:AM11" si="3">SUMIF(B:B,AL2,D:D)</f>
        <v>61112</v>
      </c>
      <c r="AN2">
        <f t="shared" ref="AN2:AN11" si="4">COUNTIF(B:B,AL2)</f>
        <v>1</v>
      </c>
      <c r="AQ2" s="6" t="s">
        <v>16</v>
      </c>
      <c r="AR2" s="6">
        <f>COUNTIFS($A:$A,$AQ2,$F:$F,AR$1)</f>
        <v>7</v>
      </c>
      <c r="AS2" s="6">
        <f t="shared" ref="AS2:BD2" si="5">COUNTIFS($A:$A,$AQ2,$F:$F,AS$1)</f>
        <v>6</v>
      </c>
      <c r="AT2" s="6">
        <f t="shared" si="5"/>
        <v>10</v>
      </c>
      <c r="AU2" s="6">
        <f t="shared" si="5"/>
        <v>7</v>
      </c>
      <c r="AV2" s="6">
        <f t="shared" si="5"/>
        <v>9</v>
      </c>
      <c r="AW2" s="6">
        <f t="shared" si="5"/>
        <v>3</v>
      </c>
      <c r="AX2" s="6">
        <f t="shared" si="5"/>
        <v>4</v>
      </c>
      <c r="AY2" s="6">
        <f t="shared" si="5"/>
        <v>5</v>
      </c>
      <c r="AZ2" s="6">
        <f t="shared" si="5"/>
        <v>7</v>
      </c>
      <c r="BA2" s="6">
        <f t="shared" si="5"/>
        <v>5</v>
      </c>
      <c r="BB2" s="6">
        <f t="shared" si="5"/>
        <v>10</v>
      </c>
      <c r="BC2" s="6">
        <f t="shared" si="5"/>
        <v>4</v>
      </c>
      <c r="BD2" s="6">
        <f t="shared" si="5"/>
        <v>1</v>
      </c>
      <c r="BF2" t="s">
        <v>6</v>
      </c>
      <c r="BG2" t="s">
        <v>5</v>
      </c>
      <c r="BH2">
        <v>7</v>
      </c>
      <c r="BI2" t="s">
        <v>496</v>
      </c>
      <c r="BP2" s="6" t="s">
        <v>16</v>
      </c>
      <c r="BQ2" s="21">
        <f>(BL39-BL22)/COUNTIFS($BG:$BG,$BP2,$BI:$BI,BQ$1)</f>
        <v>-0.33333333333333331</v>
      </c>
      <c r="BR2" s="21">
        <f t="shared" ref="BR2:CC13" si="6">(BM39-BM22)/COUNTIFS($BG:$BG,$BP2,$BI:$BI,BR$1)</f>
        <v>0</v>
      </c>
      <c r="BS2" s="21">
        <f t="shared" si="6"/>
        <v>-0.44444444444444442</v>
      </c>
      <c r="BT2" s="21">
        <f t="shared" si="6"/>
        <v>-0.5714285714285714</v>
      </c>
      <c r="BU2" s="21">
        <f t="shared" si="6"/>
        <v>-0.5</v>
      </c>
      <c r="BV2" s="21">
        <f t="shared" si="6"/>
        <v>-1</v>
      </c>
      <c r="BW2" s="21">
        <f t="shared" si="6"/>
        <v>0</v>
      </c>
      <c r="BX2" s="21">
        <f t="shared" si="6"/>
        <v>-0.6</v>
      </c>
      <c r="BY2" s="21">
        <f t="shared" si="6"/>
        <v>-0.5</v>
      </c>
      <c r="BZ2" s="21">
        <f t="shared" si="6"/>
        <v>-0.75</v>
      </c>
      <c r="CA2" s="21">
        <f t="shared" si="6"/>
        <v>-0.6</v>
      </c>
      <c r="CB2" s="21">
        <f t="shared" si="6"/>
        <v>0</v>
      </c>
      <c r="CC2" s="21">
        <f t="shared" si="6"/>
        <v>1</v>
      </c>
      <c r="CG2" t="s">
        <v>5</v>
      </c>
      <c r="CH2" t="s">
        <v>6</v>
      </c>
      <c r="CI2">
        <v>94147</v>
      </c>
      <c r="CJ2" t="s">
        <v>496</v>
      </c>
      <c r="CL2" s="6" t="s">
        <v>16</v>
      </c>
      <c r="CM2" s="26">
        <f>SUMIFS($CI:$CI,$CG:$CG,$CL2,$CJ:$CJ,CM$1)/COUNTIFS($CG:$CG,$CL2,$CJ:$CJ,CM$1)</f>
        <v>39393.714285714283</v>
      </c>
      <c r="CN2" s="26">
        <f t="shared" ref="CN2:CY2" si="7">SUMIFS($CI:$CI,$CG:$CG,$CL2,$CJ:$CJ,CN$1)/COUNTIFS($CG:$CG,$CL2,$CJ:$CJ,CN$1)</f>
        <v>36283.333333333336</v>
      </c>
      <c r="CO2" s="26">
        <f t="shared" si="7"/>
        <v>59174.6</v>
      </c>
      <c r="CP2" s="26">
        <f t="shared" si="7"/>
        <v>40516.714285714283</v>
      </c>
      <c r="CQ2" s="26">
        <f t="shared" si="7"/>
        <v>71990.888888888891</v>
      </c>
      <c r="CR2" s="26">
        <f t="shared" si="7"/>
        <v>68641</v>
      </c>
      <c r="CS2" s="26">
        <f t="shared" si="7"/>
        <v>37532.5</v>
      </c>
      <c r="CT2" s="26">
        <f t="shared" si="7"/>
        <v>50994</v>
      </c>
      <c r="CU2" s="26">
        <f t="shared" si="7"/>
        <v>59884.571428571428</v>
      </c>
      <c r="CV2" s="26">
        <f t="shared" si="7"/>
        <v>67423.199999999997</v>
      </c>
      <c r="CW2" s="26">
        <f t="shared" si="7"/>
        <v>51037.3</v>
      </c>
      <c r="CX2" s="26">
        <f t="shared" si="7"/>
        <v>40105.75</v>
      </c>
      <c r="CY2" s="26">
        <f t="shared" si="7"/>
        <v>72616</v>
      </c>
    </row>
    <row r="3" spans="1:103" x14ac:dyDescent="0.25">
      <c r="A3" t="s">
        <v>8</v>
      </c>
      <c r="B3" t="s">
        <v>9</v>
      </c>
      <c r="C3" t="s">
        <v>7</v>
      </c>
      <c r="D3">
        <v>91168</v>
      </c>
      <c r="E3">
        <v>8</v>
      </c>
      <c r="F3" s="24" t="str">
        <f t="shared" ref="F3:F66" si="8">YEAR(C3)&amp;"-"&amp;MONTH(C3)</f>
        <v>2023-9</v>
      </c>
      <c r="H3" t="s">
        <v>8</v>
      </c>
      <c r="I3">
        <f t="shared" ref="I3:I13" si="9">COUNTIF(A:A,H3)</f>
        <v>76</v>
      </c>
      <c r="J3">
        <f t="shared" ref="J3:J13" si="10">SUMIF(A:A,H3,D:D)</f>
        <v>4090494</v>
      </c>
      <c r="K3">
        <f t="shared" ref="K3:K13" si="11">COUNTIFS(O:O,H3,Q:Q,"&lt;7")</f>
        <v>33</v>
      </c>
      <c r="L3">
        <f t="shared" ref="L3:L13" si="12">COUNTIFS(O:O,H3,Q:Q,"&gt;8")</f>
        <v>11</v>
      </c>
      <c r="M3">
        <f t="shared" ref="M3:M13" si="13">COUNTIF(O:O,H3)</f>
        <v>58</v>
      </c>
      <c r="N3" s="23">
        <f t="shared" ref="N3:N13" si="14">(L3-K3)/M3</f>
        <v>-0.37931034482758619</v>
      </c>
      <c r="O3" t="s">
        <v>8</v>
      </c>
      <c r="P3" t="s">
        <v>9</v>
      </c>
      <c r="Q3">
        <v>8</v>
      </c>
      <c r="T3" t="s">
        <v>21</v>
      </c>
      <c r="U3" t="s">
        <v>23</v>
      </c>
      <c r="W3" t="s">
        <v>21</v>
      </c>
      <c r="X3" t="s">
        <v>459</v>
      </c>
      <c r="Z3">
        <f t="shared" ref="Z3:Z13" si="15">X3-U3</f>
        <v>358</v>
      </c>
      <c r="AA3">
        <v>91168</v>
      </c>
      <c r="AB3" t="s">
        <v>61</v>
      </c>
      <c r="AC3" t="s">
        <v>88</v>
      </c>
      <c r="AD3">
        <f t="shared" si="0"/>
        <v>17</v>
      </c>
      <c r="AE3">
        <f t="shared" si="1"/>
        <v>755324</v>
      </c>
      <c r="AG3" t="s">
        <v>8</v>
      </c>
      <c r="AH3" t="s">
        <v>9</v>
      </c>
      <c r="AI3" t="s">
        <v>141</v>
      </c>
      <c r="AJ3">
        <f t="shared" si="2"/>
        <v>1</v>
      </c>
      <c r="AL3" t="s">
        <v>281</v>
      </c>
      <c r="AM3">
        <f t="shared" si="3"/>
        <v>129737</v>
      </c>
      <c r="AN3">
        <f t="shared" si="4"/>
        <v>2</v>
      </c>
      <c r="AQ3" s="6" t="s">
        <v>21</v>
      </c>
      <c r="AR3" s="6">
        <f>COUNTIFS($A:$A,$AQ3,$F:$F,AR$1)</f>
        <v>6</v>
      </c>
      <c r="AS3" s="6">
        <f t="shared" ref="AR3:BD13" si="16">COUNTIFS($A:$A,$AQ3,$F:$F,AS$1)</f>
        <v>9</v>
      </c>
      <c r="AT3" s="6">
        <f t="shared" si="16"/>
        <v>3</v>
      </c>
      <c r="AU3" s="6">
        <f t="shared" si="16"/>
        <v>9</v>
      </c>
      <c r="AV3" s="6">
        <f t="shared" si="16"/>
        <v>3</v>
      </c>
      <c r="AW3" s="6">
        <f t="shared" si="16"/>
        <v>8</v>
      </c>
      <c r="AX3" s="6">
        <f t="shared" si="16"/>
        <v>6</v>
      </c>
      <c r="AY3" s="6">
        <f t="shared" si="16"/>
        <v>9</v>
      </c>
      <c r="AZ3" s="6">
        <f t="shared" si="16"/>
        <v>5</v>
      </c>
      <c r="BA3" s="6">
        <f t="shared" si="16"/>
        <v>10</v>
      </c>
      <c r="BB3" s="6">
        <f t="shared" si="16"/>
        <v>9</v>
      </c>
      <c r="BC3" s="6">
        <f t="shared" si="16"/>
        <v>6</v>
      </c>
      <c r="BD3" s="6">
        <f t="shared" si="16"/>
        <v>0</v>
      </c>
      <c r="BF3" t="s">
        <v>9</v>
      </c>
      <c r="BG3" t="s">
        <v>8</v>
      </c>
      <c r="BH3">
        <v>8</v>
      </c>
      <c r="BI3" t="s">
        <v>496</v>
      </c>
      <c r="BP3" s="6" t="s">
        <v>21</v>
      </c>
      <c r="BQ3" s="21">
        <f t="shared" ref="BQ3:BQ13" si="17">(BL40-BL23)/COUNTIFS($BG:$BG,$BP3,$BI:$BI,BQ$1)</f>
        <v>-0.66666666666666663</v>
      </c>
      <c r="BR3" s="21">
        <f t="shared" si="6"/>
        <v>-0.44444444444444442</v>
      </c>
      <c r="BS3" s="21">
        <f t="shared" si="6"/>
        <v>-1</v>
      </c>
      <c r="BT3" s="21">
        <f t="shared" si="6"/>
        <v>-0.375</v>
      </c>
      <c r="BU3" s="21">
        <f t="shared" si="6"/>
        <v>0</v>
      </c>
      <c r="BV3" s="21">
        <f t="shared" si="6"/>
        <v>-0.6</v>
      </c>
      <c r="BW3" s="21">
        <f t="shared" si="6"/>
        <v>-0.4</v>
      </c>
      <c r="BX3" s="21">
        <f t="shared" si="6"/>
        <v>-0.125</v>
      </c>
      <c r="BY3" s="21">
        <f t="shared" si="6"/>
        <v>-1</v>
      </c>
      <c r="BZ3" s="21">
        <f t="shared" si="6"/>
        <v>-0.66666666666666663</v>
      </c>
      <c r="CA3" s="21">
        <f t="shared" si="6"/>
        <v>-0.5</v>
      </c>
      <c r="CB3" s="21">
        <f t="shared" si="6"/>
        <v>-0.5</v>
      </c>
      <c r="CC3" s="21"/>
      <c r="CG3" t="s">
        <v>8</v>
      </c>
      <c r="CH3" t="s">
        <v>9</v>
      </c>
      <c r="CI3">
        <v>91168</v>
      </c>
      <c r="CJ3" t="s">
        <v>496</v>
      </c>
      <c r="CL3" s="6" t="s">
        <v>21</v>
      </c>
      <c r="CM3" s="26">
        <f t="shared" ref="CM3:CY13" si="18">SUMIFS($CI:$CI,$CG:$CG,$CL3,$CJ:$CJ,CM$1)/COUNTIFS($CG:$CG,$CL3,$CJ:$CJ,CM$1)</f>
        <v>76405.666666666672</v>
      </c>
      <c r="CN3" s="26">
        <f t="shared" si="18"/>
        <v>47964.666666666664</v>
      </c>
      <c r="CO3" s="26">
        <f t="shared" si="18"/>
        <v>48130</v>
      </c>
      <c r="CP3" s="26">
        <f t="shared" si="18"/>
        <v>61306.222222222219</v>
      </c>
      <c r="CQ3" s="26">
        <f t="shared" si="18"/>
        <v>55218.333333333336</v>
      </c>
      <c r="CR3" s="26">
        <f t="shared" si="18"/>
        <v>58909</v>
      </c>
      <c r="CS3" s="26">
        <f t="shared" si="18"/>
        <v>69800.666666666672</v>
      </c>
      <c r="CT3" s="26">
        <f t="shared" si="18"/>
        <v>60903.222222222219</v>
      </c>
      <c r="CU3" s="26">
        <f t="shared" si="18"/>
        <v>58263.8</v>
      </c>
      <c r="CV3" s="26">
        <f t="shared" si="18"/>
        <v>53353.5</v>
      </c>
      <c r="CW3" s="26">
        <f t="shared" si="18"/>
        <v>39425.555555555555</v>
      </c>
      <c r="CX3" s="26">
        <f t="shared" si="18"/>
        <v>42916.333333333336</v>
      </c>
      <c r="CY3" s="26"/>
    </row>
    <row r="4" spans="1:103" x14ac:dyDescent="0.25">
      <c r="A4" t="s">
        <v>10</v>
      </c>
      <c r="B4" t="s">
        <v>11</v>
      </c>
      <c r="C4" t="s">
        <v>7</v>
      </c>
      <c r="D4">
        <v>59046</v>
      </c>
      <c r="E4">
        <v>0</v>
      </c>
      <c r="F4" s="24" t="str">
        <f t="shared" si="8"/>
        <v>2023-9</v>
      </c>
      <c r="H4" t="s">
        <v>10</v>
      </c>
      <c r="I4">
        <f t="shared" si="9"/>
        <v>95</v>
      </c>
      <c r="J4">
        <f t="shared" si="10"/>
        <v>5053591</v>
      </c>
      <c r="K4">
        <f t="shared" si="11"/>
        <v>28</v>
      </c>
      <c r="L4">
        <f t="shared" si="12"/>
        <v>12</v>
      </c>
      <c r="M4">
        <f t="shared" si="13"/>
        <v>74</v>
      </c>
      <c r="N4" s="23">
        <f t="shared" si="14"/>
        <v>-0.21621621621621623</v>
      </c>
      <c r="O4" t="s">
        <v>10</v>
      </c>
      <c r="P4" t="s">
        <v>11</v>
      </c>
      <c r="Q4">
        <v>0</v>
      </c>
      <c r="T4" t="s">
        <v>8</v>
      </c>
      <c r="U4" t="s">
        <v>7</v>
      </c>
      <c r="W4" t="s">
        <v>8</v>
      </c>
      <c r="X4" t="s">
        <v>457</v>
      </c>
      <c r="Z4">
        <f t="shared" si="15"/>
        <v>360</v>
      </c>
      <c r="AA4">
        <v>59046</v>
      </c>
      <c r="AB4" t="s">
        <v>18</v>
      </c>
      <c r="AC4" t="s">
        <v>18</v>
      </c>
      <c r="AD4">
        <f t="shared" si="0"/>
        <v>13</v>
      </c>
      <c r="AE4">
        <f t="shared" si="1"/>
        <v>653892</v>
      </c>
      <c r="AG4" t="s">
        <v>10</v>
      </c>
      <c r="AH4" t="s">
        <v>11</v>
      </c>
      <c r="AI4" t="s">
        <v>219</v>
      </c>
      <c r="AJ4">
        <f t="shared" si="2"/>
        <v>1</v>
      </c>
      <c r="AL4" t="s">
        <v>232</v>
      </c>
      <c r="AM4">
        <f t="shared" si="3"/>
        <v>62920</v>
      </c>
      <c r="AN4">
        <f t="shared" si="4"/>
        <v>1</v>
      </c>
      <c r="AQ4" s="6" t="s">
        <v>8</v>
      </c>
      <c r="AR4" s="6">
        <f t="shared" si="16"/>
        <v>7</v>
      </c>
      <c r="AS4" s="6">
        <f t="shared" si="16"/>
        <v>5</v>
      </c>
      <c r="AT4" s="6">
        <f t="shared" si="16"/>
        <v>7</v>
      </c>
      <c r="AU4" s="6">
        <f t="shared" si="16"/>
        <v>4</v>
      </c>
      <c r="AV4" s="6">
        <f t="shared" si="16"/>
        <v>8</v>
      </c>
      <c r="AW4" s="6">
        <f t="shared" si="16"/>
        <v>5</v>
      </c>
      <c r="AX4" s="6">
        <f t="shared" si="16"/>
        <v>6</v>
      </c>
      <c r="AY4" s="6">
        <f t="shared" si="16"/>
        <v>9</v>
      </c>
      <c r="AZ4" s="6">
        <f t="shared" si="16"/>
        <v>11</v>
      </c>
      <c r="BA4" s="6">
        <f t="shared" si="16"/>
        <v>5</v>
      </c>
      <c r="BB4" s="6">
        <f t="shared" si="16"/>
        <v>5</v>
      </c>
      <c r="BC4" s="6">
        <f t="shared" si="16"/>
        <v>4</v>
      </c>
      <c r="BD4" s="6">
        <f t="shared" si="16"/>
        <v>0</v>
      </c>
      <c r="BF4" t="s">
        <v>11</v>
      </c>
      <c r="BG4" t="s">
        <v>10</v>
      </c>
      <c r="BH4">
        <v>0</v>
      </c>
      <c r="BI4" t="s">
        <v>496</v>
      </c>
      <c r="BP4" s="6" t="s">
        <v>8</v>
      </c>
      <c r="BQ4" s="21">
        <f t="shared" si="17"/>
        <v>-0.42857142857142855</v>
      </c>
      <c r="BR4" s="21">
        <f t="shared" si="6"/>
        <v>-0.6</v>
      </c>
      <c r="BS4" s="21">
        <f t="shared" si="6"/>
        <v>-0.2857142857142857</v>
      </c>
      <c r="BT4" s="21">
        <f t="shared" si="6"/>
        <v>0</v>
      </c>
      <c r="BU4" s="21">
        <f t="shared" si="6"/>
        <v>-0.16666666666666666</v>
      </c>
      <c r="BV4" s="21">
        <f t="shared" si="6"/>
        <v>-0.8</v>
      </c>
      <c r="BW4" s="21">
        <f t="shared" si="6"/>
        <v>-1</v>
      </c>
      <c r="BX4" s="21">
        <f t="shared" si="6"/>
        <v>0.16666666666666666</v>
      </c>
      <c r="BY4" s="21">
        <f t="shared" si="6"/>
        <v>-0.5</v>
      </c>
      <c r="BZ4" s="21">
        <f t="shared" si="6"/>
        <v>-0.5</v>
      </c>
      <c r="CA4" s="21">
        <f t="shared" si="6"/>
        <v>0.5</v>
      </c>
      <c r="CB4" s="21">
        <f t="shared" si="6"/>
        <v>-0.66666666666666663</v>
      </c>
      <c r="CC4" s="21"/>
      <c r="CG4" t="s">
        <v>10</v>
      </c>
      <c r="CH4" t="s">
        <v>11</v>
      </c>
      <c r="CI4">
        <v>59046</v>
      </c>
      <c r="CJ4" t="s">
        <v>496</v>
      </c>
      <c r="CL4" s="6" t="s">
        <v>8</v>
      </c>
      <c r="CM4" s="26">
        <f t="shared" si="18"/>
        <v>46353.428571428572</v>
      </c>
      <c r="CN4" s="26">
        <f t="shared" si="18"/>
        <v>43239.6</v>
      </c>
      <c r="CO4" s="26">
        <f t="shared" si="18"/>
        <v>55074.428571428572</v>
      </c>
      <c r="CP4" s="26">
        <f t="shared" si="18"/>
        <v>68025.75</v>
      </c>
      <c r="CQ4" s="26">
        <f t="shared" si="18"/>
        <v>59309.375</v>
      </c>
      <c r="CR4" s="26">
        <f t="shared" si="18"/>
        <v>55966</v>
      </c>
      <c r="CS4" s="26">
        <f t="shared" si="18"/>
        <v>35121.166666666664</v>
      </c>
      <c r="CT4" s="26">
        <f t="shared" si="18"/>
        <v>67793.333333333328</v>
      </c>
      <c r="CU4" s="26">
        <f t="shared" si="18"/>
        <v>55472.63636363636</v>
      </c>
      <c r="CV4" s="26">
        <f t="shared" si="18"/>
        <v>57103.4</v>
      </c>
      <c r="CW4" s="26">
        <f t="shared" si="18"/>
        <v>36966</v>
      </c>
      <c r="CX4" s="26">
        <f t="shared" si="18"/>
        <v>59120</v>
      </c>
      <c r="CY4" s="26"/>
    </row>
    <row r="5" spans="1:103" x14ac:dyDescent="0.25">
      <c r="A5" t="s">
        <v>5</v>
      </c>
      <c r="B5" t="s">
        <v>12</v>
      </c>
      <c r="C5" t="s">
        <v>13</v>
      </c>
      <c r="D5">
        <v>91067</v>
      </c>
      <c r="E5">
        <v>9</v>
      </c>
      <c r="F5" s="24" t="str">
        <f t="shared" si="8"/>
        <v>2023-9</v>
      </c>
      <c r="H5" t="s">
        <v>14</v>
      </c>
      <c r="I5">
        <f t="shared" si="9"/>
        <v>81</v>
      </c>
      <c r="J5">
        <f t="shared" si="10"/>
        <v>4030728</v>
      </c>
      <c r="K5">
        <f t="shared" si="11"/>
        <v>28</v>
      </c>
      <c r="L5">
        <f t="shared" si="12"/>
        <v>10</v>
      </c>
      <c r="M5">
        <f t="shared" si="13"/>
        <v>63</v>
      </c>
      <c r="N5" s="23">
        <f t="shared" si="14"/>
        <v>-0.2857142857142857</v>
      </c>
      <c r="O5" t="s">
        <v>5</v>
      </c>
      <c r="P5" t="s">
        <v>12</v>
      </c>
      <c r="Q5">
        <v>9</v>
      </c>
      <c r="T5" t="s">
        <v>37</v>
      </c>
      <c r="U5" t="s">
        <v>32</v>
      </c>
      <c r="W5" t="s">
        <v>37</v>
      </c>
      <c r="X5" t="s">
        <v>457</v>
      </c>
      <c r="Z5">
        <f t="shared" si="15"/>
        <v>354</v>
      </c>
      <c r="AA5">
        <v>91067</v>
      </c>
      <c r="AB5" t="s">
        <v>42</v>
      </c>
      <c r="AC5" t="s">
        <v>82</v>
      </c>
      <c r="AD5">
        <f t="shared" si="0"/>
        <v>13</v>
      </c>
      <c r="AE5">
        <f t="shared" si="1"/>
        <v>557185</v>
      </c>
      <c r="AG5" t="s">
        <v>5</v>
      </c>
      <c r="AH5" t="s">
        <v>12</v>
      </c>
      <c r="AI5" t="s">
        <v>223</v>
      </c>
      <c r="AJ5">
        <f t="shared" si="2"/>
        <v>1</v>
      </c>
      <c r="AL5" t="s">
        <v>219</v>
      </c>
      <c r="AM5">
        <f t="shared" si="3"/>
        <v>87346</v>
      </c>
      <c r="AN5">
        <f t="shared" si="4"/>
        <v>1</v>
      </c>
      <c r="AQ5" s="6" t="s">
        <v>37</v>
      </c>
      <c r="AR5" s="6">
        <f t="shared" si="16"/>
        <v>10</v>
      </c>
      <c r="AS5" s="6">
        <f t="shared" si="16"/>
        <v>9</v>
      </c>
      <c r="AT5" s="6">
        <f t="shared" si="16"/>
        <v>11</v>
      </c>
      <c r="AU5" s="6">
        <f t="shared" si="16"/>
        <v>8</v>
      </c>
      <c r="AV5" s="6">
        <f t="shared" si="16"/>
        <v>8</v>
      </c>
      <c r="AW5" s="6">
        <f t="shared" si="16"/>
        <v>6</v>
      </c>
      <c r="AX5" s="6">
        <f t="shared" si="16"/>
        <v>5</v>
      </c>
      <c r="AY5" s="6">
        <f t="shared" si="16"/>
        <v>6</v>
      </c>
      <c r="AZ5" s="6">
        <f t="shared" si="16"/>
        <v>10</v>
      </c>
      <c r="BA5" s="6">
        <f t="shared" si="16"/>
        <v>6</v>
      </c>
      <c r="BB5" s="6">
        <f t="shared" si="16"/>
        <v>7</v>
      </c>
      <c r="BC5" s="6">
        <f t="shared" si="16"/>
        <v>7</v>
      </c>
      <c r="BD5" s="6">
        <f t="shared" si="16"/>
        <v>0</v>
      </c>
      <c r="BF5" t="s">
        <v>12</v>
      </c>
      <c r="BG5" t="s">
        <v>5</v>
      </c>
      <c r="BH5">
        <v>9</v>
      </c>
      <c r="BI5" t="s">
        <v>496</v>
      </c>
      <c r="BP5" s="6" t="s">
        <v>37</v>
      </c>
      <c r="BQ5" s="21">
        <f t="shared" si="17"/>
        <v>0.125</v>
      </c>
      <c r="BR5" s="21">
        <f t="shared" si="6"/>
        <v>-0.55555555555555558</v>
      </c>
      <c r="BS5" s="21">
        <f t="shared" si="6"/>
        <v>-0.22222222222222221</v>
      </c>
      <c r="BT5" s="21">
        <f t="shared" si="6"/>
        <v>-0.25</v>
      </c>
      <c r="BU5" s="21">
        <f t="shared" si="6"/>
        <v>0.16666666666666666</v>
      </c>
      <c r="BV5" s="21">
        <f t="shared" si="6"/>
        <v>0</v>
      </c>
      <c r="BW5" s="21">
        <f t="shared" si="6"/>
        <v>-0.33333333333333331</v>
      </c>
      <c r="BX5" s="21">
        <f t="shared" si="6"/>
        <v>0</v>
      </c>
      <c r="BY5" s="21">
        <f t="shared" si="6"/>
        <v>-0.44444444444444442</v>
      </c>
      <c r="BZ5" s="21">
        <f t="shared" si="6"/>
        <v>-0.66666666666666663</v>
      </c>
      <c r="CA5" s="21">
        <f t="shared" si="6"/>
        <v>-0.66666666666666663</v>
      </c>
      <c r="CB5" s="21">
        <f t="shared" si="6"/>
        <v>-0.75</v>
      </c>
      <c r="CC5" s="21"/>
      <c r="CG5" t="s">
        <v>5</v>
      </c>
      <c r="CH5" t="s">
        <v>12</v>
      </c>
      <c r="CI5">
        <v>91067</v>
      </c>
      <c r="CJ5" t="s">
        <v>496</v>
      </c>
      <c r="CL5" s="6" t="s">
        <v>37</v>
      </c>
      <c r="CM5" s="26">
        <f t="shared" si="18"/>
        <v>48506.3</v>
      </c>
      <c r="CN5" s="26">
        <f t="shared" si="18"/>
        <v>49041.777777777781</v>
      </c>
      <c r="CO5" s="26">
        <f t="shared" si="18"/>
        <v>77987.181818181823</v>
      </c>
      <c r="CP5" s="26">
        <f t="shared" si="18"/>
        <v>44676</v>
      </c>
      <c r="CQ5" s="26">
        <f t="shared" si="18"/>
        <v>61315.625</v>
      </c>
      <c r="CR5" s="26">
        <f t="shared" si="18"/>
        <v>68124</v>
      </c>
      <c r="CS5" s="26">
        <f t="shared" si="18"/>
        <v>49470.8</v>
      </c>
      <c r="CT5" s="26">
        <f t="shared" si="18"/>
        <v>44942</v>
      </c>
      <c r="CU5" s="26">
        <f t="shared" si="18"/>
        <v>66123.399999999994</v>
      </c>
      <c r="CV5" s="26">
        <f t="shared" si="18"/>
        <v>50604</v>
      </c>
      <c r="CW5" s="26">
        <f t="shared" si="18"/>
        <v>63358.857142857145</v>
      </c>
      <c r="CX5" s="26">
        <f t="shared" si="18"/>
        <v>47462.571428571428</v>
      </c>
      <c r="CY5" s="26"/>
    </row>
    <row r="6" spans="1:103" x14ac:dyDescent="0.25">
      <c r="A6" t="s">
        <v>14</v>
      </c>
      <c r="B6" t="s">
        <v>15</v>
      </c>
      <c r="C6" t="s">
        <v>13</v>
      </c>
      <c r="D6">
        <v>19988</v>
      </c>
      <c r="E6">
        <v>7</v>
      </c>
      <c r="F6" s="24" t="str">
        <f t="shared" si="8"/>
        <v>2023-9</v>
      </c>
      <c r="H6" t="s">
        <v>16</v>
      </c>
      <c r="I6">
        <f t="shared" si="9"/>
        <v>78</v>
      </c>
      <c r="J6">
        <f t="shared" si="10"/>
        <v>4127480</v>
      </c>
      <c r="K6">
        <f t="shared" si="11"/>
        <v>34</v>
      </c>
      <c r="L6">
        <f t="shared" si="12"/>
        <v>8</v>
      </c>
      <c r="M6">
        <f t="shared" si="13"/>
        <v>64</v>
      </c>
      <c r="N6" s="23">
        <f t="shared" si="14"/>
        <v>-0.40625</v>
      </c>
      <c r="O6" t="s">
        <v>14</v>
      </c>
      <c r="P6" t="s">
        <v>15</v>
      </c>
      <c r="Q6">
        <v>7</v>
      </c>
      <c r="T6" t="s">
        <v>53</v>
      </c>
      <c r="U6" t="s">
        <v>47</v>
      </c>
      <c r="W6" t="s">
        <v>53</v>
      </c>
      <c r="X6" t="s">
        <v>458</v>
      </c>
      <c r="Z6">
        <f t="shared" si="15"/>
        <v>351</v>
      </c>
      <c r="AA6">
        <v>19988</v>
      </c>
      <c r="AB6" t="s">
        <v>49</v>
      </c>
      <c r="AC6" t="s">
        <v>50</v>
      </c>
      <c r="AD6">
        <f t="shared" si="0"/>
        <v>12</v>
      </c>
      <c r="AE6">
        <f t="shared" si="1"/>
        <v>849525</v>
      </c>
      <c r="AG6" t="s">
        <v>14</v>
      </c>
      <c r="AH6" t="s">
        <v>15</v>
      </c>
      <c r="AI6" t="s">
        <v>232</v>
      </c>
      <c r="AJ6">
        <f t="shared" si="2"/>
        <v>1</v>
      </c>
      <c r="AL6" t="s">
        <v>261</v>
      </c>
      <c r="AM6">
        <f t="shared" si="3"/>
        <v>49201</v>
      </c>
      <c r="AN6">
        <f t="shared" si="4"/>
        <v>1</v>
      </c>
      <c r="AQ6" s="6" t="s">
        <v>53</v>
      </c>
      <c r="AR6" s="6">
        <f t="shared" si="16"/>
        <v>6</v>
      </c>
      <c r="AS6" s="6">
        <f t="shared" si="16"/>
        <v>9</v>
      </c>
      <c r="AT6" s="6">
        <f t="shared" si="16"/>
        <v>6</v>
      </c>
      <c r="AU6" s="6">
        <f t="shared" si="16"/>
        <v>12</v>
      </c>
      <c r="AV6" s="6">
        <f t="shared" si="16"/>
        <v>2</v>
      </c>
      <c r="AW6" s="6">
        <f t="shared" si="16"/>
        <v>8</v>
      </c>
      <c r="AX6" s="6">
        <f t="shared" si="16"/>
        <v>9</v>
      </c>
      <c r="AY6" s="6">
        <f t="shared" si="16"/>
        <v>8</v>
      </c>
      <c r="AZ6" s="6">
        <f t="shared" si="16"/>
        <v>10</v>
      </c>
      <c r="BA6" s="6">
        <f t="shared" si="16"/>
        <v>8</v>
      </c>
      <c r="BB6" s="6">
        <f t="shared" si="16"/>
        <v>6</v>
      </c>
      <c r="BC6" s="6">
        <f t="shared" si="16"/>
        <v>5</v>
      </c>
      <c r="BD6" s="6">
        <f t="shared" si="16"/>
        <v>0</v>
      </c>
      <c r="BF6" t="s">
        <v>15</v>
      </c>
      <c r="BG6" t="s">
        <v>14</v>
      </c>
      <c r="BH6">
        <v>7</v>
      </c>
      <c r="BI6" t="s">
        <v>496</v>
      </c>
      <c r="BP6" s="6" t="s">
        <v>53</v>
      </c>
      <c r="BQ6" s="21">
        <f t="shared" si="17"/>
        <v>0.33333333333333331</v>
      </c>
      <c r="BR6" s="21">
        <f t="shared" si="6"/>
        <v>-0.5</v>
      </c>
      <c r="BS6" s="21">
        <f t="shared" si="6"/>
        <v>-0.5</v>
      </c>
      <c r="BT6" s="21">
        <f t="shared" si="6"/>
        <v>-0.66666666666666663</v>
      </c>
      <c r="BU6" s="21">
        <f t="shared" si="6"/>
        <v>-0.5</v>
      </c>
      <c r="BV6" s="21">
        <f t="shared" si="6"/>
        <v>0</v>
      </c>
      <c r="BW6" s="21">
        <f t="shared" si="6"/>
        <v>0.2</v>
      </c>
      <c r="BX6" s="21">
        <f t="shared" si="6"/>
        <v>-0.66666666666666663</v>
      </c>
      <c r="BY6" s="21">
        <f t="shared" si="6"/>
        <v>-0.5714285714285714</v>
      </c>
      <c r="BZ6" s="21">
        <f t="shared" si="6"/>
        <v>-0.2857142857142857</v>
      </c>
      <c r="CA6" s="21">
        <f t="shared" si="6"/>
        <v>0</v>
      </c>
      <c r="CB6" s="21">
        <f t="shared" si="6"/>
        <v>0</v>
      </c>
      <c r="CC6" s="21"/>
      <c r="CG6" t="s">
        <v>14</v>
      </c>
      <c r="CH6" t="s">
        <v>15</v>
      </c>
      <c r="CI6">
        <v>19988</v>
      </c>
      <c r="CJ6" t="s">
        <v>496</v>
      </c>
      <c r="CL6" s="6" t="s">
        <v>53</v>
      </c>
      <c r="CM6" s="26">
        <f t="shared" si="18"/>
        <v>44754.333333333336</v>
      </c>
      <c r="CN6" s="26">
        <f t="shared" si="18"/>
        <v>45179.222222222219</v>
      </c>
      <c r="CO6" s="26">
        <f t="shared" si="18"/>
        <v>44452.666666666664</v>
      </c>
      <c r="CP6" s="26">
        <f t="shared" si="18"/>
        <v>55433.583333333336</v>
      </c>
      <c r="CQ6" s="26">
        <f t="shared" si="18"/>
        <v>54936</v>
      </c>
      <c r="CR6" s="26">
        <f t="shared" si="18"/>
        <v>61314</v>
      </c>
      <c r="CS6" s="26">
        <f t="shared" si="18"/>
        <v>55566.888888888891</v>
      </c>
      <c r="CT6" s="26">
        <f t="shared" si="18"/>
        <v>47789.375</v>
      </c>
      <c r="CU6" s="26">
        <f t="shared" si="18"/>
        <v>63799.199999999997</v>
      </c>
      <c r="CV6" s="26">
        <f t="shared" si="18"/>
        <v>52095</v>
      </c>
      <c r="CW6" s="26">
        <f t="shared" si="18"/>
        <v>60353.666666666664</v>
      </c>
      <c r="CX6" s="26">
        <f t="shared" si="18"/>
        <v>36990.6</v>
      </c>
      <c r="CY6" s="26"/>
    </row>
    <row r="7" spans="1:103" x14ac:dyDescent="0.25">
      <c r="A7" t="s">
        <v>16</v>
      </c>
      <c r="B7" t="s">
        <v>17</v>
      </c>
      <c r="C7" t="s">
        <v>13</v>
      </c>
      <c r="D7">
        <v>32490</v>
      </c>
      <c r="E7">
        <v>6</v>
      </c>
      <c r="F7" s="24" t="str">
        <f t="shared" si="8"/>
        <v>2023-9</v>
      </c>
      <c r="H7" t="s">
        <v>21</v>
      </c>
      <c r="I7">
        <f t="shared" si="9"/>
        <v>83</v>
      </c>
      <c r="J7">
        <f t="shared" si="10"/>
        <v>4627304</v>
      </c>
      <c r="K7">
        <f t="shared" si="11"/>
        <v>38</v>
      </c>
      <c r="L7">
        <f t="shared" si="12"/>
        <v>5</v>
      </c>
      <c r="M7">
        <f t="shared" si="13"/>
        <v>67</v>
      </c>
      <c r="N7" s="23">
        <f t="shared" si="14"/>
        <v>-0.4925373134328358</v>
      </c>
      <c r="O7" t="s">
        <v>16</v>
      </c>
      <c r="P7" t="s">
        <v>17</v>
      </c>
      <c r="Q7">
        <v>6</v>
      </c>
      <c r="T7" t="s">
        <v>10</v>
      </c>
      <c r="U7" t="s">
        <v>7</v>
      </c>
      <c r="W7" t="s">
        <v>10</v>
      </c>
      <c r="X7" t="s">
        <v>457</v>
      </c>
      <c r="Z7">
        <f t="shared" si="15"/>
        <v>360</v>
      </c>
      <c r="AA7">
        <v>32490</v>
      </c>
      <c r="AB7" t="s">
        <v>86</v>
      </c>
      <c r="AC7" t="s">
        <v>100</v>
      </c>
      <c r="AD7">
        <f t="shared" si="0"/>
        <v>12</v>
      </c>
      <c r="AE7">
        <f t="shared" si="1"/>
        <v>751267</v>
      </c>
      <c r="AG7" t="s">
        <v>16</v>
      </c>
      <c r="AH7" t="s">
        <v>17</v>
      </c>
      <c r="AI7" t="s">
        <v>258</v>
      </c>
      <c r="AJ7">
        <f t="shared" si="2"/>
        <v>1</v>
      </c>
      <c r="AL7" t="s">
        <v>141</v>
      </c>
      <c r="AM7">
        <f t="shared" si="3"/>
        <v>51971</v>
      </c>
      <c r="AN7">
        <f t="shared" si="4"/>
        <v>1</v>
      </c>
      <c r="AQ7" s="6" t="s">
        <v>10</v>
      </c>
      <c r="AR7" s="6">
        <f t="shared" si="16"/>
        <v>5</v>
      </c>
      <c r="AS7" s="6">
        <f t="shared" si="16"/>
        <v>11</v>
      </c>
      <c r="AT7" s="6">
        <f t="shared" si="16"/>
        <v>11</v>
      </c>
      <c r="AU7" s="6">
        <f t="shared" si="16"/>
        <v>6</v>
      </c>
      <c r="AV7" s="6">
        <f t="shared" si="16"/>
        <v>5</v>
      </c>
      <c r="AW7" s="6">
        <f t="shared" si="16"/>
        <v>6</v>
      </c>
      <c r="AX7" s="6">
        <f t="shared" si="16"/>
        <v>12</v>
      </c>
      <c r="AY7" s="6">
        <f t="shared" si="16"/>
        <v>9</v>
      </c>
      <c r="AZ7" s="6">
        <f t="shared" si="16"/>
        <v>7</v>
      </c>
      <c r="BA7" s="6">
        <f t="shared" si="16"/>
        <v>7</v>
      </c>
      <c r="BB7" s="6">
        <f t="shared" si="16"/>
        <v>7</v>
      </c>
      <c r="BC7" s="6">
        <f t="shared" si="16"/>
        <v>9</v>
      </c>
      <c r="BD7" s="6">
        <f t="shared" si="16"/>
        <v>0</v>
      </c>
      <c r="BF7" t="s">
        <v>17</v>
      </c>
      <c r="BG7" t="s">
        <v>16</v>
      </c>
      <c r="BH7">
        <v>6</v>
      </c>
      <c r="BI7" t="s">
        <v>496</v>
      </c>
      <c r="BP7" s="6" t="s">
        <v>10</v>
      </c>
      <c r="BQ7" s="21">
        <f t="shared" si="17"/>
        <v>-0.4</v>
      </c>
      <c r="BR7" s="21">
        <f t="shared" si="6"/>
        <v>-0.18181818181818182</v>
      </c>
      <c r="BS7" s="21">
        <f t="shared" si="6"/>
        <v>-9.0909090909090912E-2</v>
      </c>
      <c r="BT7" s="21">
        <f t="shared" si="6"/>
        <v>-0.6</v>
      </c>
      <c r="BU7" s="21">
        <f t="shared" si="6"/>
        <v>-0.5</v>
      </c>
      <c r="BV7" s="21">
        <f t="shared" si="6"/>
        <v>0.2</v>
      </c>
      <c r="BW7" s="21">
        <f t="shared" si="6"/>
        <v>-0.375</v>
      </c>
      <c r="BX7" s="21">
        <f t="shared" si="6"/>
        <v>-0.33333333333333331</v>
      </c>
      <c r="BY7" s="21">
        <f t="shared" si="6"/>
        <v>-0.25</v>
      </c>
      <c r="BZ7" s="21">
        <f t="shared" si="6"/>
        <v>-0.16666666666666666</v>
      </c>
      <c r="CA7" s="21">
        <f t="shared" si="6"/>
        <v>0</v>
      </c>
      <c r="CB7" s="21">
        <f t="shared" si="6"/>
        <v>0</v>
      </c>
      <c r="CC7" s="21"/>
      <c r="CG7" t="s">
        <v>16</v>
      </c>
      <c r="CH7" t="s">
        <v>17</v>
      </c>
      <c r="CI7">
        <v>32490</v>
      </c>
      <c r="CJ7" t="s">
        <v>496</v>
      </c>
      <c r="CL7" s="6" t="s">
        <v>10</v>
      </c>
      <c r="CM7" s="26">
        <f t="shared" si="18"/>
        <v>48549.2</v>
      </c>
      <c r="CN7" s="26">
        <f t="shared" si="18"/>
        <v>48180.181818181816</v>
      </c>
      <c r="CO7" s="26">
        <f t="shared" si="18"/>
        <v>64772.181818181816</v>
      </c>
      <c r="CP7" s="26">
        <f t="shared" si="18"/>
        <v>59011.833333333336</v>
      </c>
      <c r="CQ7" s="26">
        <f t="shared" si="18"/>
        <v>46426.8</v>
      </c>
      <c r="CR7" s="26">
        <f t="shared" si="18"/>
        <v>65591</v>
      </c>
      <c r="CS7" s="26">
        <f t="shared" si="18"/>
        <v>48941.75</v>
      </c>
      <c r="CT7" s="26">
        <f t="shared" si="18"/>
        <v>52242.333333333336</v>
      </c>
      <c r="CU7" s="26">
        <f t="shared" si="18"/>
        <v>61542.571428571428</v>
      </c>
      <c r="CV7" s="26">
        <f t="shared" si="18"/>
        <v>46791.428571428572</v>
      </c>
      <c r="CW7" s="26">
        <f t="shared" si="18"/>
        <v>36414</v>
      </c>
      <c r="CX7" s="26">
        <f t="shared" si="18"/>
        <v>57544.444444444445</v>
      </c>
      <c r="CY7" s="26"/>
    </row>
    <row r="8" spans="1:103" x14ac:dyDescent="0.25">
      <c r="A8" t="s">
        <v>5</v>
      </c>
      <c r="B8" t="s">
        <v>18</v>
      </c>
      <c r="C8" t="s">
        <v>13</v>
      </c>
      <c r="D8">
        <v>41143</v>
      </c>
      <c r="E8">
        <v>9</v>
      </c>
      <c r="F8" s="24" t="str">
        <f t="shared" si="8"/>
        <v>2023-9</v>
      </c>
      <c r="H8" t="s">
        <v>29</v>
      </c>
      <c r="I8">
        <f t="shared" si="9"/>
        <v>82</v>
      </c>
      <c r="J8">
        <f t="shared" si="10"/>
        <v>4722924</v>
      </c>
      <c r="K8">
        <f t="shared" si="11"/>
        <v>27</v>
      </c>
      <c r="L8">
        <f t="shared" si="12"/>
        <v>13</v>
      </c>
      <c r="M8">
        <f t="shared" si="13"/>
        <v>65</v>
      </c>
      <c r="N8" s="23">
        <f t="shared" si="14"/>
        <v>-0.2153846153846154</v>
      </c>
      <c r="O8" t="s">
        <v>5</v>
      </c>
      <c r="P8" t="s">
        <v>18</v>
      </c>
      <c r="Q8">
        <v>9</v>
      </c>
      <c r="T8" t="s">
        <v>55</v>
      </c>
      <c r="U8" t="s">
        <v>47</v>
      </c>
      <c r="W8" t="s">
        <v>55</v>
      </c>
      <c r="X8" t="s">
        <v>461</v>
      </c>
      <c r="Z8">
        <f t="shared" si="15"/>
        <v>354</v>
      </c>
      <c r="AA8">
        <v>41143</v>
      </c>
      <c r="AB8" t="s">
        <v>101</v>
      </c>
      <c r="AC8" t="s">
        <v>119</v>
      </c>
      <c r="AD8">
        <f t="shared" si="0"/>
        <v>12</v>
      </c>
      <c r="AE8">
        <f t="shared" si="1"/>
        <v>619964</v>
      </c>
      <c r="AG8" t="s">
        <v>5</v>
      </c>
      <c r="AH8" t="s">
        <v>18</v>
      </c>
      <c r="AI8" t="s">
        <v>261</v>
      </c>
      <c r="AJ8">
        <f t="shared" si="2"/>
        <v>1</v>
      </c>
      <c r="AL8" t="s">
        <v>273</v>
      </c>
      <c r="AM8">
        <f t="shared" si="3"/>
        <v>76836</v>
      </c>
      <c r="AN8">
        <f t="shared" si="4"/>
        <v>2</v>
      </c>
      <c r="AQ8" s="6" t="s">
        <v>55</v>
      </c>
      <c r="AR8" s="6">
        <f t="shared" si="16"/>
        <v>4</v>
      </c>
      <c r="AS8" s="6">
        <f t="shared" si="16"/>
        <v>8</v>
      </c>
      <c r="AT8" s="6">
        <f t="shared" si="16"/>
        <v>7</v>
      </c>
      <c r="AU8" s="6">
        <f t="shared" si="16"/>
        <v>11</v>
      </c>
      <c r="AV8" s="6">
        <f t="shared" si="16"/>
        <v>5</v>
      </c>
      <c r="AW8" s="6">
        <f t="shared" si="16"/>
        <v>3</v>
      </c>
      <c r="AX8" s="6">
        <f t="shared" si="16"/>
        <v>8</v>
      </c>
      <c r="AY8" s="6">
        <f t="shared" si="16"/>
        <v>4</v>
      </c>
      <c r="AZ8" s="6">
        <f t="shared" si="16"/>
        <v>7</v>
      </c>
      <c r="BA8" s="6">
        <f t="shared" si="16"/>
        <v>6</v>
      </c>
      <c r="BB8" s="6">
        <f t="shared" si="16"/>
        <v>7</v>
      </c>
      <c r="BC8" s="6">
        <f t="shared" si="16"/>
        <v>4</v>
      </c>
      <c r="BD8" s="6">
        <f t="shared" si="16"/>
        <v>0</v>
      </c>
      <c r="BF8" t="s">
        <v>18</v>
      </c>
      <c r="BG8" t="s">
        <v>5</v>
      </c>
      <c r="BH8">
        <v>9</v>
      </c>
      <c r="BI8" t="s">
        <v>496</v>
      </c>
      <c r="BP8" s="6" t="s">
        <v>55</v>
      </c>
      <c r="BQ8" s="21">
        <f t="shared" si="17"/>
        <v>-0.25</v>
      </c>
      <c r="BR8" s="21">
        <f t="shared" si="6"/>
        <v>-0.25</v>
      </c>
      <c r="BS8" s="21">
        <f t="shared" si="6"/>
        <v>-0.16666666666666666</v>
      </c>
      <c r="BT8" s="21">
        <f t="shared" si="6"/>
        <v>0</v>
      </c>
      <c r="BU8" s="21">
        <f t="shared" si="6"/>
        <v>-0.6</v>
      </c>
      <c r="BV8" s="21">
        <f t="shared" si="6"/>
        <v>0</v>
      </c>
      <c r="BW8" s="21">
        <f t="shared" si="6"/>
        <v>-0.6</v>
      </c>
      <c r="BX8" s="21">
        <f t="shared" si="6"/>
        <v>-0.66666666666666663</v>
      </c>
      <c r="BY8" s="21">
        <f t="shared" si="6"/>
        <v>-0.66666666666666663</v>
      </c>
      <c r="BZ8" s="21">
        <f t="shared" si="6"/>
        <v>-0.66666666666666663</v>
      </c>
      <c r="CA8" s="21">
        <f t="shared" si="6"/>
        <v>-0.25</v>
      </c>
      <c r="CB8" s="21">
        <f t="shared" si="6"/>
        <v>0</v>
      </c>
      <c r="CC8" s="21"/>
      <c r="CG8" t="s">
        <v>5</v>
      </c>
      <c r="CH8" t="s">
        <v>18</v>
      </c>
      <c r="CI8">
        <v>41143</v>
      </c>
      <c r="CJ8" t="s">
        <v>496</v>
      </c>
      <c r="CL8" s="6" t="s">
        <v>55</v>
      </c>
      <c r="CM8" s="26">
        <f t="shared" si="18"/>
        <v>58728</v>
      </c>
      <c r="CN8" s="26">
        <f t="shared" si="18"/>
        <v>44638.5</v>
      </c>
      <c r="CO8" s="26">
        <f t="shared" si="18"/>
        <v>46710.857142857145</v>
      </c>
      <c r="CP8" s="26">
        <f t="shared" si="18"/>
        <v>51885.818181818184</v>
      </c>
      <c r="CQ8" s="26">
        <f t="shared" si="18"/>
        <v>42874.2</v>
      </c>
      <c r="CR8" s="26">
        <f t="shared" si="18"/>
        <v>59880.666666666664</v>
      </c>
      <c r="CS8" s="26">
        <f t="shared" si="18"/>
        <v>50191.125</v>
      </c>
      <c r="CT8" s="26">
        <f t="shared" si="18"/>
        <v>42576.75</v>
      </c>
      <c r="CU8" s="26">
        <f t="shared" si="18"/>
        <v>50421.285714285717</v>
      </c>
      <c r="CV8" s="26">
        <f t="shared" si="18"/>
        <v>72153.5</v>
      </c>
      <c r="CW8" s="26">
        <f t="shared" si="18"/>
        <v>50633.285714285717</v>
      </c>
      <c r="CX8" s="26">
        <f t="shared" si="18"/>
        <v>23353.25</v>
      </c>
      <c r="CY8" s="26"/>
    </row>
    <row r="9" spans="1:103" x14ac:dyDescent="0.25">
      <c r="A9" t="s">
        <v>10</v>
      </c>
      <c r="B9" t="s">
        <v>19</v>
      </c>
      <c r="C9" t="s">
        <v>13</v>
      </c>
      <c r="D9">
        <v>70618</v>
      </c>
      <c r="E9">
        <v>5</v>
      </c>
      <c r="F9" s="24" t="str">
        <f t="shared" si="8"/>
        <v>2023-9</v>
      </c>
      <c r="H9" t="s">
        <v>35</v>
      </c>
      <c r="I9">
        <f t="shared" si="9"/>
        <v>72</v>
      </c>
      <c r="J9">
        <f t="shared" si="10"/>
        <v>3795307</v>
      </c>
      <c r="K9">
        <f t="shared" si="11"/>
        <v>28</v>
      </c>
      <c r="L9">
        <f t="shared" si="12"/>
        <v>8</v>
      </c>
      <c r="M9">
        <f t="shared" si="13"/>
        <v>58</v>
      </c>
      <c r="N9" s="23">
        <f t="shared" si="14"/>
        <v>-0.34482758620689657</v>
      </c>
      <c r="O9" t="s">
        <v>10</v>
      </c>
      <c r="P9" t="s">
        <v>19</v>
      </c>
      <c r="Q9">
        <v>5</v>
      </c>
      <c r="T9" t="s">
        <v>35</v>
      </c>
      <c r="U9" t="s">
        <v>32</v>
      </c>
      <c r="W9" t="s">
        <v>35</v>
      </c>
      <c r="X9" t="s">
        <v>462</v>
      </c>
      <c r="Z9">
        <f t="shared" si="15"/>
        <v>361</v>
      </c>
      <c r="AA9">
        <v>70618</v>
      </c>
      <c r="AB9" t="s">
        <v>51</v>
      </c>
      <c r="AC9" t="s">
        <v>52</v>
      </c>
      <c r="AD9">
        <f t="shared" si="0"/>
        <v>11</v>
      </c>
      <c r="AE9">
        <f t="shared" si="1"/>
        <v>699384</v>
      </c>
      <c r="AG9" t="s">
        <v>10</v>
      </c>
      <c r="AH9" t="s">
        <v>19</v>
      </c>
      <c r="AI9" t="s">
        <v>266</v>
      </c>
      <c r="AJ9">
        <f t="shared" si="2"/>
        <v>1</v>
      </c>
      <c r="AL9" t="s">
        <v>258</v>
      </c>
      <c r="AM9">
        <f t="shared" si="3"/>
        <v>91492</v>
      </c>
      <c r="AN9">
        <f t="shared" si="4"/>
        <v>2</v>
      </c>
      <c r="AQ9" s="6" t="s">
        <v>35</v>
      </c>
      <c r="AR9" s="6">
        <f t="shared" si="16"/>
        <v>10</v>
      </c>
      <c r="AS9" s="6">
        <f t="shared" si="16"/>
        <v>6</v>
      </c>
      <c r="AT9" s="6">
        <f t="shared" si="16"/>
        <v>6</v>
      </c>
      <c r="AU9" s="6">
        <f t="shared" si="16"/>
        <v>5</v>
      </c>
      <c r="AV9" s="6">
        <f t="shared" si="16"/>
        <v>8</v>
      </c>
      <c r="AW9" s="6">
        <f t="shared" si="16"/>
        <v>5</v>
      </c>
      <c r="AX9" s="6">
        <f t="shared" si="16"/>
        <v>14</v>
      </c>
      <c r="AY9" s="6">
        <f t="shared" si="16"/>
        <v>3</v>
      </c>
      <c r="AZ9" s="6">
        <f t="shared" si="16"/>
        <v>1</v>
      </c>
      <c r="BA9" s="6">
        <f t="shared" si="16"/>
        <v>5</v>
      </c>
      <c r="BB9" s="6">
        <f t="shared" si="16"/>
        <v>7</v>
      </c>
      <c r="BC9" s="6">
        <f t="shared" si="16"/>
        <v>1</v>
      </c>
      <c r="BD9" s="6">
        <f t="shared" si="16"/>
        <v>1</v>
      </c>
      <c r="BF9" t="s">
        <v>19</v>
      </c>
      <c r="BG9" t="s">
        <v>10</v>
      </c>
      <c r="BH9">
        <v>5</v>
      </c>
      <c r="BI9" t="s">
        <v>496</v>
      </c>
      <c r="BP9" s="6" t="s">
        <v>35</v>
      </c>
      <c r="BQ9" s="21">
        <f t="shared" si="17"/>
        <v>-0.3</v>
      </c>
      <c r="BR9" s="21">
        <f t="shared" si="6"/>
        <v>-0.16666666666666666</v>
      </c>
      <c r="BS9" s="21">
        <f t="shared" si="6"/>
        <v>-0.8</v>
      </c>
      <c r="BT9" s="21">
        <f t="shared" si="6"/>
        <v>-0.75</v>
      </c>
      <c r="BU9" s="21">
        <f t="shared" si="6"/>
        <v>0</v>
      </c>
      <c r="BV9" s="21">
        <f t="shared" si="6"/>
        <v>-0.4</v>
      </c>
      <c r="BW9" s="21">
        <f t="shared" si="6"/>
        <v>-0.2</v>
      </c>
      <c r="BX9" s="21">
        <f t="shared" si="6"/>
        <v>0.5</v>
      </c>
      <c r="BY9" s="21">
        <f t="shared" si="6"/>
        <v>0</v>
      </c>
      <c r="BZ9" s="21">
        <f t="shared" si="6"/>
        <v>-0.5</v>
      </c>
      <c r="CA9" s="21">
        <f t="shared" si="6"/>
        <v>-0.8</v>
      </c>
      <c r="CB9" s="21">
        <f t="shared" si="6"/>
        <v>-1</v>
      </c>
      <c r="CC9" s="21"/>
      <c r="CG9" t="s">
        <v>10</v>
      </c>
      <c r="CH9" t="s">
        <v>19</v>
      </c>
      <c r="CI9">
        <v>70618</v>
      </c>
      <c r="CJ9" t="s">
        <v>496</v>
      </c>
      <c r="CL9" s="6" t="s">
        <v>35</v>
      </c>
      <c r="CM9" s="26">
        <f t="shared" si="18"/>
        <v>58445.5</v>
      </c>
      <c r="CN9" s="26">
        <f t="shared" si="18"/>
        <v>38455.666666666664</v>
      </c>
      <c r="CO9" s="26">
        <f t="shared" si="18"/>
        <v>66649.5</v>
      </c>
      <c r="CP9" s="26">
        <f t="shared" si="18"/>
        <v>41626.400000000001</v>
      </c>
      <c r="CQ9" s="26">
        <f t="shared" si="18"/>
        <v>44686.75</v>
      </c>
      <c r="CR9" s="26">
        <f t="shared" si="18"/>
        <v>55420.2</v>
      </c>
      <c r="CS9" s="26">
        <f t="shared" si="18"/>
        <v>52688.142857142855</v>
      </c>
      <c r="CT9" s="26">
        <f t="shared" si="18"/>
        <v>41761.333333333336</v>
      </c>
      <c r="CU9" s="26">
        <f t="shared" si="18"/>
        <v>78364</v>
      </c>
      <c r="CV9" s="26">
        <f t="shared" si="18"/>
        <v>45738.8</v>
      </c>
      <c r="CW9" s="26">
        <f t="shared" si="18"/>
        <v>62908.857142857145</v>
      </c>
      <c r="CX9" s="26">
        <f t="shared" si="18"/>
        <v>86870</v>
      </c>
      <c r="CY9" s="26">
        <f t="shared" si="18"/>
        <v>40286</v>
      </c>
    </row>
    <row r="10" spans="1:103" x14ac:dyDescent="0.25">
      <c r="A10" t="s">
        <v>5</v>
      </c>
      <c r="B10" t="s">
        <v>20</v>
      </c>
      <c r="C10" t="s">
        <v>13</v>
      </c>
      <c r="D10">
        <v>94118</v>
      </c>
      <c r="E10">
        <v>9</v>
      </c>
      <c r="F10" s="24" t="str">
        <f t="shared" si="8"/>
        <v>2023-9</v>
      </c>
      <c r="H10" t="s">
        <v>37</v>
      </c>
      <c r="I10">
        <f t="shared" si="9"/>
        <v>93</v>
      </c>
      <c r="J10">
        <f t="shared" si="10"/>
        <v>5298589</v>
      </c>
      <c r="K10">
        <f t="shared" si="11"/>
        <v>33</v>
      </c>
      <c r="L10">
        <f t="shared" si="12"/>
        <v>12</v>
      </c>
      <c r="M10">
        <f t="shared" si="13"/>
        <v>75</v>
      </c>
      <c r="N10" s="23">
        <f t="shared" si="14"/>
        <v>-0.28000000000000003</v>
      </c>
      <c r="O10" t="s">
        <v>5</v>
      </c>
      <c r="P10" t="s">
        <v>20</v>
      </c>
      <c r="Q10">
        <v>9</v>
      </c>
      <c r="T10" t="s">
        <v>75</v>
      </c>
      <c r="U10" t="s">
        <v>74</v>
      </c>
      <c r="W10" t="s">
        <v>75</v>
      </c>
      <c r="X10" t="s">
        <v>457</v>
      </c>
      <c r="Z10">
        <f t="shared" si="15"/>
        <v>341</v>
      </c>
      <c r="AA10">
        <v>94118</v>
      </c>
      <c r="AB10" t="s">
        <v>71</v>
      </c>
      <c r="AC10" t="s">
        <v>81</v>
      </c>
      <c r="AD10">
        <f t="shared" si="0"/>
        <v>11</v>
      </c>
      <c r="AE10">
        <f t="shared" si="1"/>
        <v>626805</v>
      </c>
      <c r="AG10" t="s">
        <v>5</v>
      </c>
      <c r="AH10" t="s">
        <v>20</v>
      </c>
      <c r="AI10" t="s">
        <v>273</v>
      </c>
      <c r="AJ10">
        <f t="shared" si="2"/>
        <v>1</v>
      </c>
      <c r="AL10" t="s">
        <v>84</v>
      </c>
      <c r="AM10">
        <f t="shared" si="3"/>
        <v>22240</v>
      </c>
      <c r="AN10">
        <f t="shared" si="4"/>
        <v>1</v>
      </c>
      <c r="AQ10" s="6" t="s">
        <v>75</v>
      </c>
      <c r="AR10" s="6">
        <f t="shared" si="16"/>
        <v>4</v>
      </c>
      <c r="AS10" s="6">
        <f t="shared" si="16"/>
        <v>6</v>
      </c>
      <c r="AT10" s="6">
        <f t="shared" si="16"/>
        <v>8</v>
      </c>
      <c r="AU10" s="6">
        <f t="shared" si="16"/>
        <v>10</v>
      </c>
      <c r="AV10" s="6">
        <f t="shared" si="16"/>
        <v>7</v>
      </c>
      <c r="AW10" s="6">
        <f t="shared" si="16"/>
        <v>8</v>
      </c>
      <c r="AX10" s="6">
        <f t="shared" si="16"/>
        <v>2</v>
      </c>
      <c r="AY10" s="6">
        <f t="shared" si="16"/>
        <v>8</v>
      </c>
      <c r="AZ10" s="6">
        <f t="shared" si="16"/>
        <v>8</v>
      </c>
      <c r="BA10" s="6">
        <f t="shared" si="16"/>
        <v>6</v>
      </c>
      <c r="BB10" s="6">
        <f t="shared" si="16"/>
        <v>7</v>
      </c>
      <c r="BC10" s="6">
        <f t="shared" si="16"/>
        <v>8</v>
      </c>
      <c r="BD10" s="6">
        <f t="shared" si="16"/>
        <v>0</v>
      </c>
      <c r="BF10" t="s">
        <v>20</v>
      </c>
      <c r="BG10" t="s">
        <v>5</v>
      </c>
      <c r="BH10">
        <v>9</v>
      </c>
      <c r="BI10" t="s">
        <v>496</v>
      </c>
      <c r="BP10" s="6" t="s">
        <v>75</v>
      </c>
      <c r="BQ10" s="21">
        <f t="shared" si="17"/>
        <v>-0.5</v>
      </c>
      <c r="BR10" s="21">
        <f t="shared" si="6"/>
        <v>-0.4</v>
      </c>
      <c r="BS10" s="21">
        <f t="shared" si="6"/>
        <v>-0.5</v>
      </c>
      <c r="BT10" s="21">
        <f t="shared" si="6"/>
        <v>-0.1</v>
      </c>
      <c r="BU10" s="21">
        <f t="shared" si="6"/>
        <v>-0.16666666666666666</v>
      </c>
      <c r="BV10" s="21">
        <f t="shared" si="6"/>
        <v>-0.4</v>
      </c>
      <c r="BW10" s="21">
        <f t="shared" si="6"/>
        <v>-1</v>
      </c>
      <c r="BX10" s="21">
        <f t="shared" si="6"/>
        <v>-0.2857142857142857</v>
      </c>
      <c r="BY10" s="21">
        <f t="shared" si="6"/>
        <v>-0.6</v>
      </c>
      <c r="BZ10" s="21">
        <f t="shared" si="6"/>
        <v>-0.5</v>
      </c>
      <c r="CA10" s="21">
        <f t="shared" si="6"/>
        <v>-0.66666666666666663</v>
      </c>
      <c r="CB10" s="21">
        <f t="shared" si="6"/>
        <v>-0.16666666666666666</v>
      </c>
      <c r="CC10" s="21"/>
      <c r="CG10" t="s">
        <v>5</v>
      </c>
      <c r="CH10" t="s">
        <v>20</v>
      </c>
      <c r="CI10">
        <v>94118</v>
      </c>
      <c r="CJ10" t="s">
        <v>496</v>
      </c>
      <c r="CL10" s="6" t="s">
        <v>75</v>
      </c>
      <c r="CM10" s="26">
        <f t="shared" si="18"/>
        <v>52184</v>
      </c>
      <c r="CN10" s="26">
        <f t="shared" si="18"/>
        <v>44779</v>
      </c>
      <c r="CO10" s="26">
        <f t="shared" si="18"/>
        <v>53707</v>
      </c>
      <c r="CP10" s="26">
        <f t="shared" si="18"/>
        <v>34611.300000000003</v>
      </c>
      <c r="CQ10" s="26">
        <f t="shared" si="18"/>
        <v>72848</v>
      </c>
      <c r="CR10" s="26">
        <f t="shared" si="18"/>
        <v>55414.5</v>
      </c>
      <c r="CS10" s="26">
        <f t="shared" si="18"/>
        <v>64204</v>
      </c>
      <c r="CT10" s="26">
        <f t="shared" si="18"/>
        <v>54277</v>
      </c>
      <c r="CU10" s="26">
        <f t="shared" si="18"/>
        <v>62214.5</v>
      </c>
      <c r="CV10" s="26">
        <f t="shared" si="18"/>
        <v>56541.833333333336</v>
      </c>
      <c r="CW10" s="26">
        <f t="shared" si="18"/>
        <v>50053.714285714283</v>
      </c>
      <c r="CX10" s="26">
        <f t="shared" si="18"/>
        <v>65575.875</v>
      </c>
      <c r="CY10" s="26"/>
    </row>
    <row r="11" spans="1:103" x14ac:dyDescent="0.25">
      <c r="A11" t="s">
        <v>21</v>
      </c>
      <c r="B11" t="s">
        <v>22</v>
      </c>
      <c r="C11" t="s">
        <v>23</v>
      </c>
      <c r="D11">
        <v>79050</v>
      </c>
      <c r="E11">
        <v>5</v>
      </c>
      <c r="F11" s="24" t="str">
        <f t="shared" si="8"/>
        <v>2023-9</v>
      </c>
      <c r="H11" t="s">
        <v>53</v>
      </c>
      <c r="I11">
        <f t="shared" si="9"/>
        <v>89</v>
      </c>
      <c r="J11">
        <f t="shared" si="10"/>
        <v>4691686</v>
      </c>
      <c r="K11">
        <f t="shared" si="11"/>
        <v>35</v>
      </c>
      <c r="L11">
        <f t="shared" si="12"/>
        <v>14</v>
      </c>
      <c r="M11">
        <f t="shared" si="13"/>
        <v>73</v>
      </c>
      <c r="N11" s="23">
        <f t="shared" si="14"/>
        <v>-0.28767123287671231</v>
      </c>
      <c r="O11" t="s">
        <v>21</v>
      </c>
      <c r="P11" t="s">
        <v>22</v>
      </c>
      <c r="Q11">
        <v>5</v>
      </c>
      <c r="T11" t="s">
        <v>29</v>
      </c>
      <c r="U11" t="s">
        <v>28</v>
      </c>
      <c r="W11" t="s">
        <v>29</v>
      </c>
      <c r="X11" t="s">
        <v>462</v>
      </c>
      <c r="Z11">
        <f t="shared" si="15"/>
        <v>362</v>
      </c>
      <c r="AA11">
        <v>79050</v>
      </c>
      <c r="AB11" t="s">
        <v>109</v>
      </c>
      <c r="AC11" t="s">
        <v>130</v>
      </c>
      <c r="AD11">
        <f t="shared" si="0"/>
        <v>10</v>
      </c>
      <c r="AE11">
        <f t="shared" si="1"/>
        <v>725184</v>
      </c>
      <c r="AG11" t="s">
        <v>21</v>
      </c>
      <c r="AH11" t="s">
        <v>22</v>
      </c>
      <c r="AI11" t="s">
        <v>281</v>
      </c>
      <c r="AJ11">
        <f t="shared" si="2"/>
        <v>1</v>
      </c>
      <c r="AL11" t="s">
        <v>223</v>
      </c>
      <c r="AM11">
        <f t="shared" si="3"/>
        <v>72139</v>
      </c>
      <c r="AN11">
        <f t="shared" si="4"/>
        <v>1</v>
      </c>
      <c r="AQ11" s="6" t="s">
        <v>29</v>
      </c>
      <c r="AR11" s="6">
        <f t="shared" si="16"/>
        <v>7</v>
      </c>
      <c r="AS11" s="6">
        <f t="shared" si="16"/>
        <v>8</v>
      </c>
      <c r="AT11" s="6">
        <f t="shared" si="16"/>
        <v>5</v>
      </c>
      <c r="AU11" s="6">
        <f t="shared" si="16"/>
        <v>9</v>
      </c>
      <c r="AV11" s="6">
        <f t="shared" si="16"/>
        <v>10</v>
      </c>
      <c r="AW11" s="6">
        <f t="shared" si="16"/>
        <v>8</v>
      </c>
      <c r="AX11" s="6">
        <f t="shared" si="16"/>
        <v>8</v>
      </c>
      <c r="AY11" s="6">
        <f t="shared" si="16"/>
        <v>5</v>
      </c>
      <c r="AZ11" s="6">
        <f t="shared" si="16"/>
        <v>5</v>
      </c>
      <c r="BA11" s="6">
        <f t="shared" si="16"/>
        <v>3</v>
      </c>
      <c r="BB11" s="6">
        <f t="shared" si="16"/>
        <v>6</v>
      </c>
      <c r="BC11" s="6">
        <f t="shared" si="16"/>
        <v>7</v>
      </c>
      <c r="BD11" s="6">
        <f t="shared" si="16"/>
        <v>1</v>
      </c>
      <c r="BF11" t="s">
        <v>22</v>
      </c>
      <c r="BG11" t="s">
        <v>21</v>
      </c>
      <c r="BH11">
        <v>5</v>
      </c>
      <c r="BI11" t="s">
        <v>496</v>
      </c>
      <c r="BP11" s="6" t="s">
        <v>29</v>
      </c>
      <c r="BQ11" s="21">
        <f t="shared" si="17"/>
        <v>0.42857142857142855</v>
      </c>
      <c r="BR11" s="21">
        <f t="shared" si="6"/>
        <v>-0.5</v>
      </c>
      <c r="BS11" s="21">
        <f t="shared" si="6"/>
        <v>0</v>
      </c>
      <c r="BT11" s="21">
        <f t="shared" si="6"/>
        <v>-0.375</v>
      </c>
      <c r="BU11" s="21">
        <f t="shared" si="6"/>
        <v>-0.5714285714285714</v>
      </c>
      <c r="BV11" s="21">
        <f t="shared" si="6"/>
        <v>-0.2857142857142857</v>
      </c>
      <c r="BW11" s="21">
        <f t="shared" si="6"/>
        <v>-0.14285714285714285</v>
      </c>
      <c r="BX11" s="21">
        <f t="shared" si="6"/>
        <v>0</v>
      </c>
      <c r="BY11" s="21">
        <f t="shared" si="6"/>
        <v>0.5</v>
      </c>
      <c r="BZ11" s="21">
        <f t="shared" si="6"/>
        <v>-1</v>
      </c>
      <c r="CA11" s="21">
        <f t="shared" si="6"/>
        <v>-0.6</v>
      </c>
      <c r="CB11" s="21">
        <f t="shared" si="6"/>
        <v>0.5</v>
      </c>
      <c r="CC11" s="21">
        <f t="shared" si="6"/>
        <v>-1</v>
      </c>
      <c r="CG11" t="s">
        <v>21</v>
      </c>
      <c r="CH11" t="s">
        <v>22</v>
      </c>
      <c r="CI11">
        <v>79050</v>
      </c>
      <c r="CJ11" t="s">
        <v>496</v>
      </c>
      <c r="CL11" s="6" t="s">
        <v>29</v>
      </c>
      <c r="CM11" s="26">
        <f t="shared" si="18"/>
        <v>51498.857142857145</v>
      </c>
      <c r="CN11" s="26">
        <f t="shared" si="18"/>
        <v>52071.75</v>
      </c>
      <c r="CO11" s="26">
        <f t="shared" si="18"/>
        <v>67088.800000000003</v>
      </c>
      <c r="CP11" s="26">
        <f t="shared" si="18"/>
        <v>59600.555555555555</v>
      </c>
      <c r="CQ11" s="26">
        <f t="shared" si="18"/>
        <v>64874.3</v>
      </c>
      <c r="CR11" s="26">
        <f t="shared" si="18"/>
        <v>71044.875</v>
      </c>
      <c r="CS11" s="26">
        <f t="shared" si="18"/>
        <v>54655.25</v>
      </c>
      <c r="CT11" s="26">
        <f t="shared" si="18"/>
        <v>45277.599999999999</v>
      </c>
      <c r="CU11" s="26">
        <f t="shared" si="18"/>
        <v>47576.4</v>
      </c>
      <c r="CV11" s="26">
        <f t="shared" si="18"/>
        <v>31693.666666666668</v>
      </c>
      <c r="CW11" s="26">
        <f t="shared" si="18"/>
        <v>65779.833333333328</v>
      </c>
      <c r="CX11" s="26">
        <f t="shared" si="18"/>
        <v>61022.285714285717</v>
      </c>
      <c r="CY11" s="26">
        <f t="shared" si="18"/>
        <v>38479</v>
      </c>
    </row>
    <row r="12" spans="1:103" x14ac:dyDescent="0.25">
      <c r="A12" t="s">
        <v>21</v>
      </c>
      <c r="B12" t="s">
        <v>24</v>
      </c>
      <c r="C12" t="s">
        <v>23</v>
      </c>
      <c r="D12">
        <v>95974</v>
      </c>
      <c r="E12">
        <v>7</v>
      </c>
      <c r="F12" s="24" t="str">
        <f t="shared" si="8"/>
        <v>2023-9</v>
      </c>
      <c r="H12" t="s">
        <v>55</v>
      </c>
      <c r="I12">
        <f t="shared" si="9"/>
        <v>74</v>
      </c>
      <c r="J12">
        <f t="shared" si="10"/>
        <v>3689305</v>
      </c>
      <c r="K12">
        <f t="shared" si="11"/>
        <v>27</v>
      </c>
      <c r="L12">
        <f t="shared" si="12"/>
        <v>8</v>
      </c>
      <c r="M12">
        <f t="shared" si="13"/>
        <v>58</v>
      </c>
      <c r="N12" s="23">
        <f t="shared" si="14"/>
        <v>-0.32758620689655171</v>
      </c>
      <c r="O12" t="s">
        <v>21</v>
      </c>
      <c r="P12" t="s">
        <v>24</v>
      </c>
      <c r="Q12">
        <v>7</v>
      </c>
      <c r="T12" t="s">
        <v>5</v>
      </c>
      <c r="U12" t="s">
        <v>7</v>
      </c>
      <c r="W12" t="s">
        <v>5</v>
      </c>
      <c r="X12" t="s">
        <v>455</v>
      </c>
      <c r="Z12">
        <f t="shared" si="15"/>
        <v>355</v>
      </c>
      <c r="AA12">
        <v>95974</v>
      </c>
      <c r="AB12" t="s">
        <v>17</v>
      </c>
      <c r="AC12" t="s">
        <v>17</v>
      </c>
      <c r="AD12">
        <f t="shared" si="0"/>
        <v>9</v>
      </c>
      <c r="AE12">
        <f t="shared" si="1"/>
        <v>507155</v>
      </c>
      <c r="AG12" t="s">
        <v>21</v>
      </c>
      <c r="AH12" t="s">
        <v>24</v>
      </c>
      <c r="AI12" t="s">
        <v>305</v>
      </c>
      <c r="AJ12">
        <f t="shared" si="2"/>
        <v>1</v>
      </c>
      <c r="AQ12" s="6" t="s">
        <v>5</v>
      </c>
      <c r="AR12" s="6">
        <f t="shared" si="16"/>
        <v>14</v>
      </c>
      <c r="AS12" s="6">
        <f t="shared" si="16"/>
        <v>5</v>
      </c>
      <c r="AT12" s="6">
        <f t="shared" si="16"/>
        <v>10</v>
      </c>
      <c r="AU12" s="6">
        <f t="shared" si="16"/>
        <v>12</v>
      </c>
      <c r="AV12" s="6">
        <f t="shared" si="16"/>
        <v>11</v>
      </c>
      <c r="AW12" s="6">
        <f t="shared" si="16"/>
        <v>3</v>
      </c>
      <c r="AX12" s="6">
        <f t="shared" si="16"/>
        <v>3</v>
      </c>
      <c r="AY12" s="6">
        <f t="shared" si="16"/>
        <v>5</v>
      </c>
      <c r="AZ12" s="6">
        <f t="shared" si="16"/>
        <v>10</v>
      </c>
      <c r="BA12" s="6">
        <f t="shared" si="16"/>
        <v>4</v>
      </c>
      <c r="BB12" s="6">
        <f t="shared" si="16"/>
        <v>6</v>
      </c>
      <c r="BC12" s="6">
        <f t="shared" si="16"/>
        <v>12</v>
      </c>
      <c r="BD12" s="6">
        <f t="shared" si="16"/>
        <v>0</v>
      </c>
      <c r="BE12" t="s">
        <v>517</v>
      </c>
      <c r="BF12" t="s">
        <v>24</v>
      </c>
      <c r="BG12" t="s">
        <v>21</v>
      </c>
      <c r="BH12">
        <v>7</v>
      </c>
      <c r="BI12" t="s">
        <v>496</v>
      </c>
      <c r="BP12" s="6" t="s">
        <v>5</v>
      </c>
      <c r="BQ12" s="21">
        <f t="shared" si="17"/>
        <v>-0.21428571428571427</v>
      </c>
      <c r="BR12" s="21">
        <f t="shared" si="6"/>
        <v>0.25</v>
      </c>
      <c r="BS12" s="21">
        <f t="shared" si="6"/>
        <v>-0.5</v>
      </c>
      <c r="BT12" s="21">
        <f t="shared" si="6"/>
        <v>-0.66666666666666663</v>
      </c>
      <c r="BU12" s="21">
        <f t="shared" si="6"/>
        <v>-0.5</v>
      </c>
      <c r="BV12" s="21">
        <f t="shared" si="6"/>
        <v>-0.5</v>
      </c>
      <c r="BW12" s="21">
        <f t="shared" si="6"/>
        <v>-0.66666666666666663</v>
      </c>
      <c r="BX12" s="21">
        <f t="shared" si="6"/>
        <v>-0.25</v>
      </c>
      <c r="BY12" s="21">
        <f t="shared" si="6"/>
        <v>-0.25</v>
      </c>
      <c r="BZ12" s="21">
        <f t="shared" si="6"/>
        <v>-0.66666666666666663</v>
      </c>
      <c r="CA12" s="21">
        <f t="shared" si="6"/>
        <v>-0.5</v>
      </c>
      <c r="CB12" s="21">
        <f t="shared" si="6"/>
        <v>-0.42857142857142855</v>
      </c>
      <c r="CC12" s="21"/>
      <c r="CG12" t="s">
        <v>21</v>
      </c>
      <c r="CH12" t="s">
        <v>24</v>
      </c>
      <c r="CI12">
        <v>95974</v>
      </c>
      <c r="CJ12" t="s">
        <v>496</v>
      </c>
      <c r="CL12" s="6" t="s">
        <v>5</v>
      </c>
      <c r="CM12" s="26">
        <f t="shared" si="18"/>
        <v>56370.928571428572</v>
      </c>
      <c r="CN12" s="26">
        <f t="shared" si="18"/>
        <v>42921.599999999999</v>
      </c>
      <c r="CO12" s="26">
        <f t="shared" si="18"/>
        <v>51049.7</v>
      </c>
      <c r="CP12" s="26">
        <f t="shared" si="18"/>
        <v>50431.916666666664</v>
      </c>
      <c r="CQ12" s="26">
        <f t="shared" si="18"/>
        <v>60776.36363636364</v>
      </c>
      <c r="CR12" s="26">
        <f t="shared" si="18"/>
        <v>65764.333333333328</v>
      </c>
      <c r="CS12" s="26">
        <f t="shared" si="18"/>
        <v>73722.666666666672</v>
      </c>
      <c r="CT12" s="26">
        <f t="shared" si="18"/>
        <v>69754.600000000006</v>
      </c>
      <c r="CU12" s="26">
        <f t="shared" si="18"/>
        <v>59881.2</v>
      </c>
      <c r="CV12" s="26">
        <f t="shared" si="18"/>
        <v>46978.5</v>
      </c>
      <c r="CW12" s="26">
        <f t="shared" si="18"/>
        <v>55076.166666666664</v>
      </c>
      <c r="CX12" s="26">
        <f t="shared" si="18"/>
        <v>44779.333333333336</v>
      </c>
      <c r="CY12" s="26"/>
    </row>
    <row r="13" spans="1:103" x14ac:dyDescent="0.25">
      <c r="A13" t="s">
        <v>8</v>
      </c>
      <c r="B13" t="s">
        <v>25</v>
      </c>
      <c r="C13" t="s">
        <v>23</v>
      </c>
      <c r="D13">
        <v>31259</v>
      </c>
      <c r="E13">
        <v>9</v>
      </c>
      <c r="F13" s="24" t="str">
        <f t="shared" si="8"/>
        <v>2023-9</v>
      </c>
      <c r="H13" t="s">
        <v>75</v>
      </c>
      <c r="I13">
        <f t="shared" si="9"/>
        <v>82</v>
      </c>
      <c r="J13">
        <f t="shared" si="10"/>
        <v>4481005</v>
      </c>
      <c r="K13">
        <f t="shared" si="11"/>
        <v>35</v>
      </c>
      <c r="L13">
        <f t="shared" si="12"/>
        <v>9</v>
      </c>
      <c r="M13">
        <f t="shared" si="13"/>
        <v>69</v>
      </c>
      <c r="N13" s="23">
        <f t="shared" si="14"/>
        <v>-0.37681159420289856</v>
      </c>
      <c r="O13" t="s">
        <v>8</v>
      </c>
      <c r="P13" t="s">
        <v>25</v>
      </c>
      <c r="Q13">
        <v>9</v>
      </c>
      <c r="T13" t="s">
        <v>14</v>
      </c>
      <c r="U13" t="s">
        <v>13</v>
      </c>
      <c r="W13" t="s">
        <v>14</v>
      </c>
      <c r="X13" t="s">
        <v>460</v>
      </c>
      <c r="Z13">
        <f t="shared" si="15"/>
        <v>360</v>
      </c>
      <c r="AA13">
        <v>31259</v>
      </c>
      <c r="AB13" t="s">
        <v>20</v>
      </c>
      <c r="AC13" t="s">
        <v>20</v>
      </c>
      <c r="AD13">
        <f t="shared" si="0"/>
        <v>9</v>
      </c>
      <c r="AE13">
        <f t="shared" si="1"/>
        <v>504311</v>
      </c>
      <c r="AG13" t="s">
        <v>8</v>
      </c>
      <c r="AH13" t="s">
        <v>25</v>
      </c>
      <c r="AI13" t="s">
        <v>327</v>
      </c>
      <c r="AJ13">
        <f t="shared" si="2"/>
        <v>1</v>
      </c>
      <c r="AQ13" s="6" t="s">
        <v>14</v>
      </c>
      <c r="AR13" s="6">
        <f t="shared" si="16"/>
        <v>5</v>
      </c>
      <c r="AS13" s="6">
        <f t="shared" si="16"/>
        <v>7</v>
      </c>
      <c r="AT13" s="6">
        <f t="shared" si="16"/>
        <v>8</v>
      </c>
      <c r="AU13" s="6">
        <f t="shared" si="16"/>
        <v>6</v>
      </c>
      <c r="AV13" s="6">
        <f t="shared" si="16"/>
        <v>7</v>
      </c>
      <c r="AW13" s="6">
        <f t="shared" si="16"/>
        <v>7</v>
      </c>
      <c r="AX13" s="6">
        <f t="shared" si="16"/>
        <v>10</v>
      </c>
      <c r="AY13" s="6">
        <f t="shared" si="16"/>
        <v>9</v>
      </c>
      <c r="AZ13" s="6">
        <f t="shared" si="16"/>
        <v>3</v>
      </c>
      <c r="BA13" s="6">
        <f t="shared" si="16"/>
        <v>7</v>
      </c>
      <c r="BB13" s="6">
        <f t="shared" si="16"/>
        <v>3</v>
      </c>
      <c r="BC13" s="6">
        <f t="shared" si="16"/>
        <v>9</v>
      </c>
      <c r="BD13" s="6">
        <f t="shared" si="16"/>
        <v>0</v>
      </c>
      <c r="BF13" t="s">
        <v>25</v>
      </c>
      <c r="BG13" t="s">
        <v>8</v>
      </c>
      <c r="BH13">
        <v>9</v>
      </c>
      <c r="BI13" t="s">
        <v>496</v>
      </c>
      <c r="BM13" t="s">
        <v>517</v>
      </c>
      <c r="BP13" s="6" t="s">
        <v>14</v>
      </c>
      <c r="BQ13" s="21">
        <f t="shared" si="17"/>
        <v>0</v>
      </c>
      <c r="BR13" s="21">
        <f t="shared" si="6"/>
        <v>-0.42857142857142855</v>
      </c>
      <c r="BS13" s="21">
        <f t="shared" si="6"/>
        <v>-0.75</v>
      </c>
      <c r="BT13" s="21">
        <f t="shared" si="6"/>
        <v>-0.2</v>
      </c>
      <c r="BU13" s="21">
        <f t="shared" si="6"/>
        <v>-0.25</v>
      </c>
      <c r="BV13" s="21">
        <f t="shared" si="6"/>
        <v>-0.14285714285714285</v>
      </c>
      <c r="BW13" s="21">
        <f t="shared" si="6"/>
        <v>-0.5</v>
      </c>
      <c r="BX13" s="21">
        <f t="shared" si="6"/>
        <v>0.125</v>
      </c>
      <c r="BY13" s="21">
        <f t="shared" si="6"/>
        <v>-1</v>
      </c>
      <c r="BZ13" s="21">
        <f t="shared" si="6"/>
        <v>-1</v>
      </c>
      <c r="CA13" s="21">
        <f t="shared" si="6"/>
        <v>0.5</v>
      </c>
      <c r="CB13" s="21">
        <f t="shared" si="6"/>
        <v>-0.14285714285714285</v>
      </c>
      <c r="CC13" s="21"/>
      <c r="CG13" t="s">
        <v>8</v>
      </c>
      <c r="CH13" t="s">
        <v>25</v>
      </c>
      <c r="CI13">
        <v>31259</v>
      </c>
      <c r="CJ13" t="s">
        <v>496</v>
      </c>
      <c r="CL13" s="6" t="s">
        <v>14</v>
      </c>
      <c r="CM13" s="26">
        <f t="shared" si="18"/>
        <v>46946.400000000001</v>
      </c>
      <c r="CN13" s="26">
        <f t="shared" si="18"/>
        <v>62600.714285714283</v>
      </c>
      <c r="CO13" s="26">
        <f t="shared" si="18"/>
        <v>47804.5</v>
      </c>
      <c r="CP13" s="26">
        <f t="shared" si="18"/>
        <v>28294.5</v>
      </c>
      <c r="CQ13" s="26">
        <f t="shared" si="18"/>
        <v>54578.571428571428</v>
      </c>
      <c r="CR13" s="26">
        <f t="shared" si="18"/>
        <v>42501</v>
      </c>
      <c r="CS13" s="26">
        <f t="shared" si="18"/>
        <v>70511</v>
      </c>
      <c r="CT13" s="26">
        <f t="shared" si="18"/>
        <v>43640.111111111109</v>
      </c>
      <c r="CU13" s="26">
        <f t="shared" si="18"/>
        <v>43382.333333333336</v>
      </c>
      <c r="CV13" s="26">
        <f t="shared" si="18"/>
        <v>51029.571428571428</v>
      </c>
      <c r="CW13" s="26">
        <f t="shared" si="18"/>
        <v>34012</v>
      </c>
      <c r="CX13" s="26">
        <f t="shared" si="18"/>
        <v>48752.222222222219</v>
      </c>
      <c r="CY13" s="26"/>
    </row>
    <row r="14" spans="1:103" x14ac:dyDescent="0.25">
      <c r="A14" t="s">
        <v>5</v>
      </c>
      <c r="B14" t="s">
        <v>26</v>
      </c>
      <c r="C14" t="s">
        <v>23</v>
      </c>
      <c r="D14">
        <v>42544</v>
      </c>
      <c r="E14">
        <v>5</v>
      </c>
      <c r="F14" s="24" t="str">
        <f t="shared" si="8"/>
        <v>2023-9</v>
      </c>
      <c r="O14" t="s">
        <v>5</v>
      </c>
      <c r="P14" t="s">
        <v>26</v>
      </c>
      <c r="Q14">
        <v>5</v>
      </c>
      <c r="AA14">
        <v>42544</v>
      </c>
      <c r="AB14" t="s">
        <v>30</v>
      </c>
      <c r="AC14" t="s">
        <v>31</v>
      </c>
      <c r="AD14">
        <f t="shared" si="0"/>
        <v>9</v>
      </c>
      <c r="AE14">
        <f t="shared" si="1"/>
        <v>390301</v>
      </c>
      <c r="AG14" t="s">
        <v>5</v>
      </c>
      <c r="AH14" t="s">
        <v>26</v>
      </c>
      <c r="AI14" t="s">
        <v>361</v>
      </c>
      <c r="AJ14">
        <f t="shared" si="2"/>
        <v>1</v>
      </c>
      <c r="BF14" t="s">
        <v>26</v>
      </c>
      <c r="BG14" t="s">
        <v>5</v>
      </c>
      <c r="BH14">
        <v>5</v>
      </c>
      <c r="BI14" t="s">
        <v>496</v>
      </c>
      <c r="CG14" t="s">
        <v>5</v>
      </c>
      <c r="CH14" t="s">
        <v>26</v>
      </c>
      <c r="CI14">
        <v>42544</v>
      </c>
      <c r="CJ14" t="s">
        <v>496</v>
      </c>
    </row>
    <row r="15" spans="1:103" x14ac:dyDescent="0.25">
      <c r="A15" t="s">
        <v>14</v>
      </c>
      <c r="B15" t="s">
        <v>27</v>
      </c>
      <c r="C15" t="s">
        <v>28</v>
      </c>
      <c r="D15">
        <v>67743</v>
      </c>
      <c r="E15">
        <v>8</v>
      </c>
      <c r="F15" s="24" t="str">
        <f t="shared" si="8"/>
        <v>2023-9</v>
      </c>
      <c r="O15" t="s">
        <v>14</v>
      </c>
      <c r="P15" t="s">
        <v>27</v>
      </c>
      <c r="Q15">
        <v>8</v>
      </c>
      <c r="AA15">
        <v>67743</v>
      </c>
      <c r="AB15" t="s">
        <v>79</v>
      </c>
      <c r="AC15" t="s">
        <v>92</v>
      </c>
      <c r="AD15">
        <f t="shared" si="0"/>
        <v>9</v>
      </c>
      <c r="AE15">
        <f t="shared" si="1"/>
        <v>384836</v>
      </c>
      <c r="AG15" t="s">
        <v>14</v>
      </c>
      <c r="AH15" t="s">
        <v>27</v>
      </c>
      <c r="AI15" t="s">
        <v>371</v>
      </c>
      <c r="AJ15">
        <f t="shared" si="2"/>
        <v>1</v>
      </c>
      <c r="BF15" t="s">
        <v>27</v>
      </c>
      <c r="BG15" t="s">
        <v>14</v>
      </c>
      <c r="BH15">
        <v>8</v>
      </c>
      <c r="BI15" t="s">
        <v>496</v>
      </c>
      <c r="CG15" t="s">
        <v>14</v>
      </c>
      <c r="CH15" t="s">
        <v>27</v>
      </c>
      <c r="CI15">
        <v>67743</v>
      </c>
      <c r="CJ15" t="s">
        <v>496</v>
      </c>
    </row>
    <row r="16" spans="1:103" x14ac:dyDescent="0.25">
      <c r="A16" t="s">
        <v>29</v>
      </c>
      <c r="B16" t="s">
        <v>20</v>
      </c>
      <c r="C16" t="s">
        <v>28</v>
      </c>
      <c r="D16">
        <v>69201</v>
      </c>
      <c r="E16">
        <v>8</v>
      </c>
      <c r="F16" s="24" t="str">
        <f t="shared" si="8"/>
        <v>2023-9</v>
      </c>
      <c r="O16" t="s">
        <v>29</v>
      </c>
      <c r="P16" t="s">
        <v>20</v>
      </c>
      <c r="Q16">
        <v>8</v>
      </c>
      <c r="AA16">
        <v>69201</v>
      </c>
      <c r="AB16" t="s">
        <v>92</v>
      </c>
      <c r="AC16" t="s">
        <v>109</v>
      </c>
      <c r="AD16">
        <f t="shared" si="0"/>
        <v>9</v>
      </c>
      <c r="AE16">
        <f t="shared" si="1"/>
        <v>525083</v>
      </c>
      <c r="AG16" t="s">
        <v>29</v>
      </c>
      <c r="AH16" t="s">
        <v>20</v>
      </c>
      <c r="AI16" t="s">
        <v>391</v>
      </c>
      <c r="AJ16">
        <f t="shared" si="2"/>
        <v>1</v>
      </c>
      <c r="BF16" t="s">
        <v>20</v>
      </c>
      <c r="BG16" t="s">
        <v>29</v>
      </c>
      <c r="BH16">
        <v>8</v>
      </c>
      <c r="BI16" t="s">
        <v>496</v>
      </c>
      <c r="CG16" t="s">
        <v>29</v>
      </c>
      <c r="CH16" t="s">
        <v>20</v>
      </c>
      <c r="CI16">
        <v>69201</v>
      </c>
      <c r="CJ16" t="s">
        <v>496</v>
      </c>
    </row>
    <row r="17" spans="1:110" x14ac:dyDescent="0.25">
      <c r="A17" t="s">
        <v>5</v>
      </c>
      <c r="B17" t="s">
        <v>30</v>
      </c>
      <c r="C17" t="s">
        <v>28</v>
      </c>
      <c r="D17">
        <v>17298</v>
      </c>
      <c r="E17">
        <v>1</v>
      </c>
      <c r="F17" s="24" t="str">
        <f t="shared" si="8"/>
        <v>2023-9</v>
      </c>
      <c r="O17" t="s">
        <v>5</v>
      </c>
      <c r="P17" t="s">
        <v>30</v>
      </c>
      <c r="Q17">
        <v>1</v>
      </c>
      <c r="AA17">
        <v>17298</v>
      </c>
      <c r="AB17" t="s">
        <v>110</v>
      </c>
      <c r="AC17" t="s">
        <v>131</v>
      </c>
      <c r="AD17">
        <f t="shared" si="0"/>
        <v>9</v>
      </c>
      <c r="AE17">
        <f t="shared" si="1"/>
        <v>403159</v>
      </c>
      <c r="AG17" t="s">
        <v>5</v>
      </c>
      <c r="AH17" t="s">
        <v>30</v>
      </c>
      <c r="AI17" t="s">
        <v>405</v>
      </c>
      <c r="AJ17">
        <f t="shared" si="2"/>
        <v>1</v>
      </c>
      <c r="BF17" t="s">
        <v>30</v>
      </c>
      <c r="BG17" t="s">
        <v>5</v>
      </c>
      <c r="BH17">
        <v>1</v>
      </c>
      <c r="BI17" t="s">
        <v>496</v>
      </c>
      <c r="CG17" t="s">
        <v>5</v>
      </c>
      <c r="CH17" t="s">
        <v>30</v>
      </c>
      <c r="CI17">
        <v>17298</v>
      </c>
      <c r="CJ17" t="s">
        <v>496</v>
      </c>
    </row>
    <row r="18" spans="1:110" x14ac:dyDescent="0.25">
      <c r="A18" t="s">
        <v>29</v>
      </c>
      <c r="B18" t="s">
        <v>31</v>
      </c>
      <c r="C18" t="s">
        <v>32</v>
      </c>
      <c r="D18">
        <v>86054</v>
      </c>
      <c r="E18">
        <v>9</v>
      </c>
      <c r="F18" s="24" t="str">
        <f t="shared" si="8"/>
        <v>2023-9</v>
      </c>
      <c r="O18" t="s">
        <v>29</v>
      </c>
      <c r="P18" t="s">
        <v>31</v>
      </c>
      <c r="Q18">
        <v>9</v>
      </c>
      <c r="AA18">
        <v>86054</v>
      </c>
      <c r="AB18" t="s">
        <v>135</v>
      </c>
      <c r="AC18" t="s">
        <v>176</v>
      </c>
      <c r="AD18">
        <f t="shared" si="0"/>
        <v>9</v>
      </c>
      <c r="AE18">
        <f t="shared" si="1"/>
        <v>629416</v>
      </c>
      <c r="AG18" t="s">
        <v>29</v>
      </c>
      <c r="AH18" t="s">
        <v>31</v>
      </c>
      <c r="AI18" t="s">
        <v>409</v>
      </c>
      <c r="AJ18">
        <f t="shared" si="2"/>
        <v>1</v>
      </c>
      <c r="BF18" t="s">
        <v>31</v>
      </c>
      <c r="BG18" t="s">
        <v>29</v>
      </c>
      <c r="BH18">
        <v>9</v>
      </c>
      <c r="BI18" t="s">
        <v>496</v>
      </c>
      <c r="CG18" t="s">
        <v>29</v>
      </c>
      <c r="CH18" t="s">
        <v>31</v>
      </c>
      <c r="CI18">
        <v>86054</v>
      </c>
      <c r="CJ18" t="s">
        <v>496</v>
      </c>
    </row>
    <row r="19" spans="1:110" x14ac:dyDescent="0.25">
      <c r="A19" t="s">
        <v>5</v>
      </c>
      <c r="B19" t="s">
        <v>33</v>
      </c>
      <c r="C19" t="s">
        <v>32</v>
      </c>
      <c r="D19">
        <v>48654</v>
      </c>
      <c r="E19">
        <v>5</v>
      </c>
      <c r="F19" s="24" t="str">
        <f t="shared" si="8"/>
        <v>2023-9</v>
      </c>
      <c r="O19" t="s">
        <v>5</v>
      </c>
      <c r="P19" t="s">
        <v>33</v>
      </c>
      <c r="Q19">
        <v>5</v>
      </c>
      <c r="AA19">
        <v>48654</v>
      </c>
      <c r="AB19" t="s">
        <v>164</v>
      </c>
      <c r="AC19" t="s">
        <v>231</v>
      </c>
      <c r="AD19">
        <f t="shared" si="0"/>
        <v>9</v>
      </c>
      <c r="AE19">
        <f t="shared" si="1"/>
        <v>525724</v>
      </c>
      <c r="AG19" t="s">
        <v>5</v>
      </c>
      <c r="AH19" t="s">
        <v>33</v>
      </c>
      <c r="AI19" t="s">
        <v>34</v>
      </c>
      <c r="AJ19">
        <f t="shared" si="2"/>
        <v>2</v>
      </c>
      <c r="BF19" t="s">
        <v>33</v>
      </c>
      <c r="BG19" t="s">
        <v>5</v>
      </c>
      <c r="BH19">
        <v>5</v>
      </c>
      <c r="BI19" t="s">
        <v>496</v>
      </c>
      <c r="CG19" t="s">
        <v>5</v>
      </c>
      <c r="CH19" t="s">
        <v>33</v>
      </c>
      <c r="CI19">
        <v>48654</v>
      </c>
      <c r="CJ19" t="s">
        <v>496</v>
      </c>
    </row>
    <row r="20" spans="1:110" x14ac:dyDescent="0.25">
      <c r="A20" t="s">
        <v>29</v>
      </c>
      <c r="B20" t="s">
        <v>34</v>
      </c>
      <c r="C20" t="s">
        <v>32</v>
      </c>
      <c r="D20">
        <v>32395</v>
      </c>
      <c r="E20">
        <v>9</v>
      </c>
      <c r="F20" s="24" t="str">
        <f t="shared" si="8"/>
        <v>2023-9</v>
      </c>
      <c r="O20" t="s">
        <v>29</v>
      </c>
      <c r="P20" t="s">
        <v>34</v>
      </c>
      <c r="Q20">
        <v>9</v>
      </c>
      <c r="AA20">
        <v>32395</v>
      </c>
      <c r="AB20" t="s">
        <v>170</v>
      </c>
      <c r="AC20" t="s">
        <v>255</v>
      </c>
      <c r="AD20">
        <f t="shared" si="0"/>
        <v>9</v>
      </c>
      <c r="AE20">
        <f t="shared" si="1"/>
        <v>503752</v>
      </c>
      <c r="AG20" t="s">
        <v>29</v>
      </c>
      <c r="AH20" t="s">
        <v>34</v>
      </c>
      <c r="AI20" t="s">
        <v>63</v>
      </c>
      <c r="AJ20">
        <f t="shared" si="2"/>
        <v>2</v>
      </c>
      <c r="BF20" t="s">
        <v>34</v>
      </c>
      <c r="BG20" t="s">
        <v>29</v>
      </c>
      <c r="BH20">
        <v>9</v>
      </c>
      <c r="BI20" t="s">
        <v>496</v>
      </c>
      <c r="BK20" t="s">
        <v>523</v>
      </c>
      <c r="CG20" t="s">
        <v>29</v>
      </c>
      <c r="CH20" t="s">
        <v>34</v>
      </c>
      <c r="CI20">
        <v>32395</v>
      </c>
      <c r="CJ20" t="s">
        <v>496</v>
      </c>
    </row>
    <row r="21" spans="1:110" x14ac:dyDescent="0.25">
      <c r="A21" t="s">
        <v>35</v>
      </c>
      <c r="B21" t="s">
        <v>36</v>
      </c>
      <c r="C21" t="s">
        <v>32</v>
      </c>
      <c r="D21">
        <v>49572</v>
      </c>
      <c r="E21">
        <v>6</v>
      </c>
      <c r="F21" s="24" t="str">
        <f t="shared" si="8"/>
        <v>2023-9</v>
      </c>
      <c r="O21" t="s">
        <v>35</v>
      </c>
      <c r="P21" t="s">
        <v>36</v>
      </c>
      <c r="Q21">
        <v>6</v>
      </c>
      <c r="AA21">
        <v>49572</v>
      </c>
      <c r="AB21" t="s">
        <v>9</v>
      </c>
      <c r="AC21" t="s">
        <v>9</v>
      </c>
      <c r="AD21">
        <f t="shared" si="0"/>
        <v>8</v>
      </c>
      <c r="AE21">
        <f t="shared" si="1"/>
        <v>419318</v>
      </c>
      <c r="AG21" t="s">
        <v>35</v>
      </c>
      <c r="AH21" t="s">
        <v>36</v>
      </c>
      <c r="AI21" t="s">
        <v>69</v>
      </c>
      <c r="AJ21">
        <f t="shared" si="2"/>
        <v>2</v>
      </c>
      <c r="BF21" t="s">
        <v>36</v>
      </c>
      <c r="BG21" t="s">
        <v>35</v>
      </c>
      <c r="BH21">
        <v>6</v>
      </c>
      <c r="BI21" t="s">
        <v>496</v>
      </c>
      <c r="BK21" s="17" t="s">
        <v>466</v>
      </c>
      <c r="BL21" s="6" t="s">
        <v>496</v>
      </c>
      <c r="BM21" s="6" t="s">
        <v>497</v>
      </c>
      <c r="BN21" s="6" t="s">
        <v>498</v>
      </c>
      <c r="BO21" s="6" t="s">
        <v>499</v>
      </c>
      <c r="BP21" s="6" t="s">
        <v>500</v>
      </c>
      <c r="BQ21" s="6" t="s">
        <v>501</v>
      </c>
      <c r="BR21" s="6" t="s">
        <v>502</v>
      </c>
      <c r="BS21" s="6" t="s">
        <v>503</v>
      </c>
      <c r="BT21" s="6" t="s">
        <v>504</v>
      </c>
      <c r="BU21" s="6" t="s">
        <v>505</v>
      </c>
      <c r="BV21" s="6" t="s">
        <v>506</v>
      </c>
      <c r="BW21" s="6" t="s">
        <v>507</v>
      </c>
      <c r="BX21" s="6" t="s">
        <v>508</v>
      </c>
      <c r="CG21" t="s">
        <v>35</v>
      </c>
      <c r="CH21" t="s">
        <v>36</v>
      </c>
      <c r="CI21">
        <v>49572</v>
      </c>
      <c r="CJ21" t="s">
        <v>496</v>
      </c>
    </row>
    <row r="22" spans="1:110" x14ac:dyDescent="0.25">
      <c r="A22" t="s">
        <v>37</v>
      </c>
      <c r="B22" t="s">
        <v>38</v>
      </c>
      <c r="C22" t="s">
        <v>32</v>
      </c>
      <c r="D22">
        <v>67895</v>
      </c>
      <c r="E22">
        <v>10</v>
      </c>
      <c r="F22" s="24" t="str">
        <f t="shared" si="8"/>
        <v>2023-9</v>
      </c>
      <c r="O22" t="s">
        <v>37</v>
      </c>
      <c r="P22" t="s">
        <v>38</v>
      </c>
      <c r="Q22">
        <v>10</v>
      </c>
      <c r="AA22">
        <v>67895</v>
      </c>
      <c r="AB22" t="s">
        <v>22</v>
      </c>
      <c r="AC22" t="s">
        <v>22</v>
      </c>
      <c r="AD22">
        <f t="shared" si="0"/>
        <v>8</v>
      </c>
      <c r="AE22">
        <f t="shared" si="1"/>
        <v>519823</v>
      </c>
      <c r="AG22" t="s">
        <v>37</v>
      </c>
      <c r="AH22" t="s">
        <v>38</v>
      </c>
      <c r="AI22" t="s">
        <v>96</v>
      </c>
      <c r="AJ22">
        <f t="shared" si="2"/>
        <v>2</v>
      </c>
      <c r="BF22" t="s">
        <v>38</v>
      </c>
      <c r="BG22" t="s">
        <v>37</v>
      </c>
      <c r="BH22">
        <v>10</v>
      </c>
      <c r="BI22" t="s">
        <v>496</v>
      </c>
      <c r="BK22" s="6" t="s">
        <v>16</v>
      </c>
      <c r="BL22">
        <f>COUNTIFS($BG:$BG,$BK22,$BI:$BI,BL$21,$BH:$BH,"&lt;7")</f>
        <v>3</v>
      </c>
      <c r="BM22">
        <f t="shared" ref="BM22:BX22" si="19">COUNTIFS($BG:$BG,$BK22,$BI:$BI,BM$21,$BH:$BH,"&lt;7")</f>
        <v>2</v>
      </c>
      <c r="BN22">
        <f t="shared" si="19"/>
        <v>5</v>
      </c>
      <c r="BO22">
        <f t="shared" si="19"/>
        <v>5</v>
      </c>
      <c r="BP22">
        <f t="shared" si="19"/>
        <v>4</v>
      </c>
      <c r="BQ22">
        <f t="shared" si="19"/>
        <v>2</v>
      </c>
      <c r="BR22">
        <f t="shared" si="19"/>
        <v>1</v>
      </c>
      <c r="BS22">
        <f t="shared" si="19"/>
        <v>3</v>
      </c>
      <c r="BT22">
        <f t="shared" si="19"/>
        <v>2</v>
      </c>
      <c r="BU22">
        <f t="shared" si="19"/>
        <v>3</v>
      </c>
      <c r="BV22">
        <f t="shared" si="19"/>
        <v>3</v>
      </c>
      <c r="BW22">
        <f t="shared" si="19"/>
        <v>1</v>
      </c>
      <c r="BX22">
        <f t="shared" si="19"/>
        <v>0</v>
      </c>
      <c r="CG22" t="s">
        <v>37</v>
      </c>
      <c r="CH22" t="s">
        <v>38</v>
      </c>
      <c r="CI22">
        <v>67895</v>
      </c>
      <c r="CJ22" t="s">
        <v>496</v>
      </c>
    </row>
    <row r="23" spans="1:110" x14ac:dyDescent="0.25">
      <c r="A23" t="s">
        <v>37</v>
      </c>
      <c r="B23" t="s">
        <v>39</v>
      </c>
      <c r="C23" t="s">
        <v>40</v>
      </c>
      <c r="D23">
        <v>24233</v>
      </c>
      <c r="E23">
        <v>8</v>
      </c>
      <c r="F23" s="24" t="str">
        <f t="shared" si="8"/>
        <v>2023-9</v>
      </c>
      <c r="O23" t="s">
        <v>37</v>
      </c>
      <c r="P23" t="s">
        <v>39</v>
      </c>
      <c r="Q23">
        <v>8</v>
      </c>
      <c r="AA23">
        <v>24233</v>
      </c>
      <c r="AB23" t="s">
        <v>54</v>
      </c>
      <c r="AC23" t="s">
        <v>58</v>
      </c>
      <c r="AD23">
        <f t="shared" si="0"/>
        <v>8</v>
      </c>
      <c r="AE23">
        <f t="shared" si="1"/>
        <v>485612</v>
      </c>
      <c r="AG23" t="s">
        <v>37</v>
      </c>
      <c r="AH23" t="s">
        <v>39</v>
      </c>
      <c r="AI23" t="s">
        <v>102</v>
      </c>
      <c r="AJ23">
        <f t="shared" si="2"/>
        <v>2</v>
      </c>
      <c r="BF23" t="s">
        <v>39</v>
      </c>
      <c r="BG23" t="s">
        <v>37</v>
      </c>
      <c r="BH23">
        <v>8</v>
      </c>
      <c r="BI23" t="s">
        <v>496</v>
      </c>
      <c r="BK23" s="6" t="s">
        <v>21</v>
      </c>
      <c r="BL23">
        <f t="shared" ref="BL23:BX33" si="20">COUNTIFS($BG:$BG,$BK23,$BI:$BI,BL$21,$BH:$BH,"&lt;7")</f>
        <v>4</v>
      </c>
      <c r="BM23">
        <f t="shared" si="20"/>
        <v>4</v>
      </c>
      <c r="BN23">
        <f t="shared" si="20"/>
        <v>2</v>
      </c>
      <c r="BO23">
        <f t="shared" si="20"/>
        <v>4</v>
      </c>
      <c r="BP23">
        <f t="shared" si="20"/>
        <v>1</v>
      </c>
      <c r="BQ23">
        <f t="shared" si="20"/>
        <v>3</v>
      </c>
      <c r="BR23">
        <f t="shared" si="20"/>
        <v>2</v>
      </c>
      <c r="BS23">
        <f t="shared" si="20"/>
        <v>3</v>
      </c>
      <c r="BT23">
        <f t="shared" si="20"/>
        <v>4</v>
      </c>
      <c r="BU23">
        <f t="shared" si="20"/>
        <v>7</v>
      </c>
      <c r="BV23">
        <f t="shared" si="20"/>
        <v>2</v>
      </c>
      <c r="BW23">
        <f t="shared" si="20"/>
        <v>2</v>
      </c>
      <c r="BX23">
        <f t="shared" si="20"/>
        <v>0</v>
      </c>
      <c r="CG23" t="s">
        <v>37</v>
      </c>
      <c r="CH23" t="s">
        <v>39</v>
      </c>
      <c r="CI23">
        <v>24233</v>
      </c>
      <c r="CJ23" t="s">
        <v>496</v>
      </c>
    </row>
    <row r="24" spans="1:110" x14ac:dyDescent="0.25">
      <c r="A24" t="s">
        <v>21</v>
      </c>
      <c r="B24" t="s">
        <v>41</v>
      </c>
      <c r="C24" t="s">
        <v>40</v>
      </c>
      <c r="D24">
        <v>98415</v>
      </c>
      <c r="E24">
        <v>6</v>
      </c>
      <c r="F24" s="24" t="str">
        <f t="shared" si="8"/>
        <v>2023-9</v>
      </c>
      <c r="O24" t="s">
        <v>21</v>
      </c>
      <c r="P24" t="s">
        <v>41</v>
      </c>
      <c r="Q24">
        <v>6</v>
      </c>
      <c r="AA24">
        <v>98415</v>
      </c>
      <c r="AB24" t="s">
        <v>82</v>
      </c>
      <c r="AC24" t="s">
        <v>95</v>
      </c>
      <c r="AD24">
        <f t="shared" si="0"/>
        <v>8</v>
      </c>
      <c r="AE24">
        <f t="shared" si="1"/>
        <v>391804</v>
      </c>
      <c r="AG24" t="s">
        <v>21</v>
      </c>
      <c r="AH24" t="s">
        <v>41</v>
      </c>
      <c r="AI24" t="s">
        <v>104</v>
      </c>
      <c r="AJ24">
        <f t="shared" si="2"/>
        <v>2</v>
      </c>
      <c r="BF24" t="s">
        <v>41</v>
      </c>
      <c r="BG24" t="s">
        <v>21</v>
      </c>
      <c r="BH24">
        <v>6</v>
      </c>
      <c r="BI24" t="s">
        <v>496</v>
      </c>
      <c r="BK24" s="6" t="s">
        <v>8</v>
      </c>
      <c r="BL24">
        <f t="shared" si="20"/>
        <v>4</v>
      </c>
      <c r="BM24">
        <f t="shared" si="20"/>
        <v>4</v>
      </c>
      <c r="BN24">
        <f t="shared" si="20"/>
        <v>3</v>
      </c>
      <c r="BO24">
        <f t="shared" si="20"/>
        <v>1</v>
      </c>
      <c r="BP24">
        <f t="shared" si="20"/>
        <v>3</v>
      </c>
      <c r="BQ24">
        <f t="shared" si="20"/>
        <v>4</v>
      </c>
      <c r="BR24">
        <f t="shared" si="20"/>
        <v>4</v>
      </c>
      <c r="BS24">
        <f t="shared" si="20"/>
        <v>2</v>
      </c>
      <c r="BT24">
        <f t="shared" si="20"/>
        <v>3</v>
      </c>
      <c r="BU24">
        <f t="shared" si="20"/>
        <v>3</v>
      </c>
      <c r="BV24">
        <f t="shared" si="20"/>
        <v>0</v>
      </c>
      <c r="BW24">
        <f t="shared" si="20"/>
        <v>2</v>
      </c>
      <c r="BX24">
        <f t="shared" si="20"/>
        <v>0</v>
      </c>
      <c r="CG24" t="s">
        <v>21</v>
      </c>
      <c r="CH24" t="s">
        <v>41</v>
      </c>
      <c r="CI24">
        <v>98415</v>
      </c>
      <c r="CJ24" t="s">
        <v>496</v>
      </c>
    </row>
    <row r="25" spans="1:110" x14ac:dyDescent="0.25">
      <c r="A25" t="s">
        <v>21</v>
      </c>
      <c r="B25" t="s">
        <v>42</v>
      </c>
      <c r="C25" t="s">
        <v>40</v>
      </c>
      <c r="D25">
        <v>71206</v>
      </c>
      <c r="E25">
        <v>6</v>
      </c>
      <c r="F25" s="24" t="str">
        <f t="shared" si="8"/>
        <v>2023-9</v>
      </c>
      <c r="O25" t="s">
        <v>21</v>
      </c>
      <c r="P25" t="s">
        <v>42</v>
      </c>
      <c r="Q25">
        <v>6</v>
      </c>
      <c r="AA25">
        <v>71206</v>
      </c>
      <c r="AB25" t="s">
        <v>89</v>
      </c>
      <c r="AC25" t="s">
        <v>105</v>
      </c>
      <c r="AD25">
        <f t="shared" si="0"/>
        <v>8</v>
      </c>
      <c r="AE25">
        <f t="shared" si="1"/>
        <v>376049</v>
      </c>
      <c r="AG25" t="s">
        <v>21</v>
      </c>
      <c r="AH25" t="s">
        <v>42</v>
      </c>
      <c r="AI25" t="s">
        <v>123</v>
      </c>
      <c r="AJ25">
        <f t="shared" si="2"/>
        <v>2</v>
      </c>
      <c r="BF25" t="s">
        <v>42</v>
      </c>
      <c r="BG25" t="s">
        <v>21</v>
      </c>
      <c r="BH25">
        <v>6</v>
      </c>
      <c r="BI25" t="s">
        <v>496</v>
      </c>
      <c r="BK25" s="6" t="s">
        <v>37</v>
      </c>
      <c r="BL25">
        <f t="shared" si="20"/>
        <v>2</v>
      </c>
      <c r="BM25">
        <f t="shared" si="20"/>
        <v>5</v>
      </c>
      <c r="BN25">
        <f t="shared" si="20"/>
        <v>4</v>
      </c>
      <c r="BO25">
        <f t="shared" si="20"/>
        <v>3</v>
      </c>
      <c r="BP25">
        <f t="shared" si="20"/>
        <v>1</v>
      </c>
      <c r="BQ25">
        <f t="shared" si="20"/>
        <v>1</v>
      </c>
      <c r="BR25">
        <f t="shared" si="20"/>
        <v>2</v>
      </c>
      <c r="BS25">
        <f t="shared" si="20"/>
        <v>1</v>
      </c>
      <c r="BT25">
        <f t="shared" si="20"/>
        <v>5</v>
      </c>
      <c r="BU25">
        <f t="shared" si="20"/>
        <v>2</v>
      </c>
      <c r="BV25">
        <f t="shared" si="20"/>
        <v>4</v>
      </c>
      <c r="BW25">
        <f t="shared" si="20"/>
        <v>3</v>
      </c>
      <c r="BX25">
        <f t="shared" si="20"/>
        <v>0</v>
      </c>
      <c r="CG25" t="s">
        <v>21</v>
      </c>
      <c r="CH25" t="s">
        <v>42</v>
      </c>
      <c r="CI25">
        <v>71206</v>
      </c>
      <c r="CJ25" t="s">
        <v>496</v>
      </c>
    </row>
    <row r="26" spans="1:110" x14ac:dyDescent="0.25">
      <c r="A26" t="s">
        <v>29</v>
      </c>
      <c r="B26" t="s">
        <v>43</v>
      </c>
      <c r="C26" t="s">
        <v>40</v>
      </c>
      <c r="D26">
        <v>50077</v>
      </c>
      <c r="E26">
        <v>10</v>
      </c>
      <c r="F26" s="24" t="str">
        <f t="shared" si="8"/>
        <v>2023-9</v>
      </c>
      <c r="O26" t="s">
        <v>29</v>
      </c>
      <c r="P26" t="s">
        <v>43</v>
      </c>
      <c r="Q26">
        <v>10</v>
      </c>
      <c r="AA26">
        <v>50077</v>
      </c>
      <c r="AB26" t="s">
        <v>127</v>
      </c>
      <c r="AC26" t="s">
        <v>160</v>
      </c>
      <c r="AD26">
        <f t="shared" si="0"/>
        <v>8</v>
      </c>
      <c r="AE26">
        <f t="shared" si="1"/>
        <v>436534</v>
      </c>
      <c r="AG26" t="s">
        <v>29</v>
      </c>
      <c r="AH26" t="s">
        <v>43</v>
      </c>
      <c r="AI26" t="s">
        <v>128</v>
      </c>
      <c r="AJ26">
        <f t="shared" si="2"/>
        <v>2</v>
      </c>
      <c r="BF26" t="s">
        <v>43</v>
      </c>
      <c r="BG26" t="s">
        <v>29</v>
      </c>
      <c r="BH26">
        <v>10</v>
      </c>
      <c r="BI26" t="s">
        <v>496</v>
      </c>
      <c r="BK26" s="6" t="s">
        <v>53</v>
      </c>
      <c r="BL26">
        <f t="shared" si="20"/>
        <v>2</v>
      </c>
      <c r="BM26">
        <f t="shared" si="20"/>
        <v>6</v>
      </c>
      <c r="BN26">
        <f t="shared" si="20"/>
        <v>4</v>
      </c>
      <c r="BO26">
        <f t="shared" si="20"/>
        <v>6</v>
      </c>
      <c r="BP26">
        <f t="shared" si="20"/>
        <v>1</v>
      </c>
      <c r="BQ26">
        <f t="shared" si="20"/>
        <v>1</v>
      </c>
      <c r="BR26">
        <f t="shared" si="20"/>
        <v>1</v>
      </c>
      <c r="BS26">
        <f t="shared" si="20"/>
        <v>4</v>
      </c>
      <c r="BT26">
        <f t="shared" si="20"/>
        <v>4</v>
      </c>
      <c r="BU26">
        <f t="shared" si="20"/>
        <v>3</v>
      </c>
      <c r="BV26">
        <f t="shared" si="20"/>
        <v>1</v>
      </c>
      <c r="BW26">
        <f t="shared" si="20"/>
        <v>2</v>
      </c>
      <c r="BX26">
        <f t="shared" si="20"/>
        <v>0</v>
      </c>
      <c r="CG26" t="s">
        <v>29</v>
      </c>
      <c r="CH26" t="s">
        <v>43</v>
      </c>
      <c r="CI26">
        <v>50077</v>
      </c>
      <c r="CJ26" t="s">
        <v>496</v>
      </c>
    </row>
    <row r="27" spans="1:110" x14ac:dyDescent="0.25">
      <c r="A27" t="s">
        <v>37</v>
      </c>
      <c r="B27" t="s">
        <v>44</v>
      </c>
      <c r="C27" t="s">
        <v>40</v>
      </c>
      <c r="D27">
        <v>50762</v>
      </c>
      <c r="E27">
        <v>7</v>
      </c>
      <c r="F27" s="24" t="str">
        <f t="shared" si="8"/>
        <v>2023-9</v>
      </c>
      <c r="O27" t="s">
        <v>37</v>
      </c>
      <c r="P27" t="s">
        <v>44</v>
      </c>
      <c r="Q27">
        <v>7</v>
      </c>
      <c r="AA27">
        <v>50762</v>
      </c>
      <c r="AB27" t="s">
        <v>128</v>
      </c>
      <c r="AC27" t="s">
        <v>161</v>
      </c>
      <c r="AD27">
        <f t="shared" si="0"/>
        <v>8</v>
      </c>
      <c r="AE27">
        <f t="shared" si="1"/>
        <v>339318</v>
      </c>
      <c r="AG27" t="s">
        <v>37</v>
      </c>
      <c r="AH27" t="s">
        <v>44</v>
      </c>
      <c r="AI27" t="s">
        <v>185</v>
      </c>
      <c r="AJ27">
        <f t="shared" si="2"/>
        <v>2</v>
      </c>
      <c r="BF27" t="s">
        <v>44</v>
      </c>
      <c r="BG27" t="s">
        <v>37</v>
      </c>
      <c r="BH27">
        <v>7</v>
      </c>
      <c r="BI27" t="s">
        <v>496</v>
      </c>
      <c r="BK27" s="6" t="s">
        <v>10</v>
      </c>
      <c r="BL27">
        <f>COUNTIFS($BG:$BG,$BK27,$BI:$BI,BL$21,$BH:$BH,"&lt;7")</f>
        <v>2</v>
      </c>
      <c r="BM27">
        <f t="shared" si="20"/>
        <v>4</v>
      </c>
      <c r="BN27">
        <f t="shared" si="20"/>
        <v>3</v>
      </c>
      <c r="BO27">
        <f t="shared" si="20"/>
        <v>4</v>
      </c>
      <c r="BP27">
        <f t="shared" si="20"/>
        <v>2</v>
      </c>
      <c r="BQ27">
        <f t="shared" si="20"/>
        <v>1</v>
      </c>
      <c r="BR27">
        <f t="shared" si="20"/>
        <v>3</v>
      </c>
      <c r="BS27">
        <f t="shared" si="20"/>
        <v>2</v>
      </c>
      <c r="BT27">
        <f t="shared" si="20"/>
        <v>2</v>
      </c>
      <c r="BU27">
        <f t="shared" si="20"/>
        <v>2</v>
      </c>
      <c r="BV27">
        <f t="shared" si="20"/>
        <v>1</v>
      </c>
      <c r="BW27">
        <f t="shared" si="20"/>
        <v>2</v>
      </c>
      <c r="BX27">
        <f t="shared" si="20"/>
        <v>0</v>
      </c>
      <c r="CG27" t="s">
        <v>37</v>
      </c>
      <c r="CH27" t="s">
        <v>44</v>
      </c>
      <c r="CI27">
        <v>50762</v>
      </c>
      <c r="CJ27" t="s">
        <v>496</v>
      </c>
    </row>
    <row r="28" spans="1:110" x14ac:dyDescent="0.25">
      <c r="A28" t="s">
        <v>35</v>
      </c>
      <c r="B28" t="s">
        <v>45</v>
      </c>
      <c r="C28" t="s">
        <v>40</v>
      </c>
      <c r="D28">
        <v>80619</v>
      </c>
      <c r="E28">
        <v>7</v>
      </c>
      <c r="F28" s="24" t="str">
        <f t="shared" si="8"/>
        <v>2023-9</v>
      </c>
      <c r="O28" t="s">
        <v>35</v>
      </c>
      <c r="P28" t="s">
        <v>45</v>
      </c>
      <c r="Q28">
        <v>7</v>
      </c>
      <c r="AA28">
        <v>80619</v>
      </c>
      <c r="AB28" t="s">
        <v>100</v>
      </c>
      <c r="AC28" t="s">
        <v>170</v>
      </c>
      <c r="AD28">
        <f t="shared" si="0"/>
        <v>8</v>
      </c>
      <c r="AE28">
        <f t="shared" si="1"/>
        <v>395153</v>
      </c>
      <c r="AG28" t="s">
        <v>35</v>
      </c>
      <c r="AH28" t="s">
        <v>45</v>
      </c>
      <c r="AI28" t="s">
        <v>187</v>
      </c>
      <c r="AJ28">
        <f t="shared" si="2"/>
        <v>2</v>
      </c>
      <c r="BF28" t="s">
        <v>45</v>
      </c>
      <c r="BG28" t="s">
        <v>35</v>
      </c>
      <c r="BH28">
        <v>7</v>
      </c>
      <c r="BI28" t="s">
        <v>496</v>
      </c>
      <c r="BK28" s="6" t="s">
        <v>55</v>
      </c>
      <c r="BL28">
        <f t="shared" si="20"/>
        <v>2</v>
      </c>
      <c r="BM28">
        <f t="shared" si="20"/>
        <v>3</v>
      </c>
      <c r="BN28">
        <f t="shared" si="20"/>
        <v>3</v>
      </c>
      <c r="BO28">
        <f t="shared" si="20"/>
        <v>2</v>
      </c>
      <c r="BP28">
        <f t="shared" si="20"/>
        <v>3</v>
      </c>
      <c r="BQ28">
        <f t="shared" si="20"/>
        <v>0</v>
      </c>
      <c r="BR28">
        <f t="shared" si="20"/>
        <v>3</v>
      </c>
      <c r="BS28">
        <f t="shared" si="20"/>
        <v>2</v>
      </c>
      <c r="BT28">
        <f t="shared" si="20"/>
        <v>4</v>
      </c>
      <c r="BU28">
        <f t="shared" si="20"/>
        <v>2</v>
      </c>
      <c r="BV28">
        <f t="shared" si="20"/>
        <v>2</v>
      </c>
      <c r="BW28">
        <f t="shared" si="20"/>
        <v>1</v>
      </c>
      <c r="BX28">
        <f t="shared" si="20"/>
        <v>0</v>
      </c>
      <c r="CG28" t="s">
        <v>35</v>
      </c>
      <c r="CH28" t="s">
        <v>45</v>
      </c>
      <c r="CI28">
        <v>80619</v>
      </c>
      <c r="CJ28" t="s">
        <v>496</v>
      </c>
      <c r="DF28" t="s">
        <v>517</v>
      </c>
    </row>
    <row r="29" spans="1:110" x14ac:dyDescent="0.25">
      <c r="A29" t="s">
        <v>16</v>
      </c>
      <c r="B29" t="s">
        <v>46</v>
      </c>
      <c r="C29" t="s">
        <v>47</v>
      </c>
      <c r="D29">
        <v>99796</v>
      </c>
      <c r="E29">
        <v>7</v>
      </c>
      <c r="F29" s="24" t="str">
        <f t="shared" si="8"/>
        <v>2023-9</v>
      </c>
      <c r="O29" t="s">
        <v>16</v>
      </c>
      <c r="P29" t="s">
        <v>46</v>
      </c>
      <c r="Q29">
        <v>7</v>
      </c>
      <c r="AA29">
        <v>99796</v>
      </c>
      <c r="AB29" t="s">
        <v>52</v>
      </c>
      <c r="AC29" t="s">
        <v>177</v>
      </c>
      <c r="AD29">
        <f t="shared" si="0"/>
        <v>8</v>
      </c>
      <c r="AE29">
        <f t="shared" si="1"/>
        <v>581994</v>
      </c>
      <c r="AG29" t="s">
        <v>16</v>
      </c>
      <c r="AH29" t="s">
        <v>46</v>
      </c>
      <c r="AI29" t="s">
        <v>188</v>
      </c>
      <c r="AJ29">
        <f t="shared" si="2"/>
        <v>2</v>
      </c>
      <c r="BF29" t="s">
        <v>46</v>
      </c>
      <c r="BG29" t="s">
        <v>16</v>
      </c>
      <c r="BH29">
        <v>7</v>
      </c>
      <c r="BI29" t="s">
        <v>496</v>
      </c>
      <c r="BK29" s="6" t="s">
        <v>35</v>
      </c>
      <c r="BL29">
        <f t="shared" si="20"/>
        <v>5</v>
      </c>
      <c r="BM29">
        <f t="shared" si="20"/>
        <v>3</v>
      </c>
      <c r="BN29">
        <f t="shared" si="20"/>
        <v>4</v>
      </c>
      <c r="BO29">
        <f t="shared" si="20"/>
        <v>3</v>
      </c>
      <c r="BP29">
        <f t="shared" si="20"/>
        <v>1</v>
      </c>
      <c r="BQ29">
        <f t="shared" si="20"/>
        <v>3</v>
      </c>
      <c r="BR29">
        <f t="shared" si="20"/>
        <v>3</v>
      </c>
      <c r="BS29">
        <f t="shared" si="20"/>
        <v>0</v>
      </c>
      <c r="BT29">
        <f t="shared" si="20"/>
        <v>0</v>
      </c>
      <c r="BU29">
        <f t="shared" si="20"/>
        <v>1</v>
      </c>
      <c r="BV29">
        <f t="shared" si="20"/>
        <v>4</v>
      </c>
      <c r="BW29">
        <f t="shared" si="20"/>
        <v>1</v>
      </c>
      <c r="BX29">
        <f t="shared" si="20"/>
        <v>0</v>
      </c>
      <c r="CG29" t="s">
        <v>16</v>
      </c>
      <c r="CH29" t="s">
        <v>46</v>
      </c>
      <c r="CI29">
        <v>99796</v>
      </c>
      <c r="CJ29" t="s">
        <v>496</v>
      </c>
    </row>
    <row r="30" spans="1:110" x14ac:dyDescent="0.25">
      <c r="A30" t="s">
        <v>29</v>
      </c>
      <c r="B30" t="s">
        <v>48</v>
      </c>
      <c r="C30" t="s">
        <v>47</v>
      </c>
      <c r="D30">
        <v>67492</v>
      </c>
      <c r="E30">
        <v>8</v>
      </c>
      <c r="F30" s="24" t="str">
        <f t="shared" si="8"/>
        <v>2023-9</v>
      </c>
      <c r="O30" t="s">
        <v>29</v>
      </c>
      <c r="P30" t="s">
        <v>48</v>
      </c>
      <c r="Q30">
        <v>8</v>
      </c>
      <c r="AA30">
        <v>67492</v>
      </c>
      <c r="AB30" t="s">
        <v>73</v>
      </c>
      <c r="AC30" t="s">
        <v>196</v>
      </c>
      <c r="AD30">
        <f t="shared" si="0"/>
        <v>8</v>
      </c>
      <c r="AE30">
        <f t="shared" si="1"/>
        <v>386660</v>
      </c>
      <c r="AG30" t="s">
        <v>29</v>
      </c>
      <c r="AH30" t="s">
        <v>48</v>
      </c>
      <c r="AI30" t="s">
        <v>190</v>
      </c>
      <c r="AJ30">
        <f t="shared" si="2"/>
        <v>2</v>
      </c>
      <c r="BF30" t="s">
        <v>48</v>
      </c>
      <c r="BG30" t="s">
        <v>29</v>
      </c>
      <c r="BH30">
        <v>8</v>
      </c>
      <c r="BI30" t="s">
        <v>496</v>
      </c>
      <c r="BK30" s="6" t="s">
        <v>75</v>
      </c>
      <c r="BL30">
        <f t="shared" si="20"/>
        <v>3</v>
      </c>
      <c r="BM30">
        <f t="shared" si="20"/>
        <v>3</v>
      </c>
      <c r="BN30">
        <f t="shared" si="20"/>
        <v>4</v>
      </c>
      <c r="BO30">
        <f t="shared" si="20"/>
        <v>3</v>
      </c>
      <c r="BP30">
        <f t="shared" si="20"/>
        <v>2</v>
      </c>
      <c r="BQ30">
        <f t="shared" si="20"/>
        <v>2</v>
      </c>
      <c r="BR30">
        <f t="shared" si="20"/>
        <v>1</v>
      </c>
      <c r="BS30">
        <f t="shared" si="20"/>
        <v>3</v>
      </c>
      <c r="BT30">
        <f t="shared" si="20"/>
        <v>3</v>
      </c>
      <c r="BU30">
        <f t="shared" si="20"/>
        <v>4</v>
      </c>
      <c r="BV30">
        <f t="shared" si="20"/>
        <v>4</v>
      </c>
      <c r="BW30">
        <f t="shared" si="20"/>
        <v>3</v>
      </c>
      <c r="BX30">
        <f t="shared" si="20"/>
        <v>0</v>
      </c>
      <c r="CG30" t="s">
        <v>29</v>
      </c>
      <c r="CH30" t="s">
        <v>48</v>
      </c>
      <c r="CI30">
        <v>67492</v>
      </c>
      <c r="CJ30" t="s">
        <v>496</v>
      </c>
    </row>
    <row r="31" spans="1:110" x14ac:dyDescent="0.25">
      <c r="A31" t="s">
        <v>5</v>
      </c>
      <c r="B31" t="s">
        <v>49</v>
      </c>
      <c r="C31" t="s">
        <v>47</v>
      </c>
      <c r="D31">
        <v>51816</v>
      </c>
      <c r="E31">
        <v>6</v>
      </c>
      <c r="F31" s="24" t="str">
        <f t="shared" si="8"/>
        <v>2023-9</v>
      </c>
      <c r="O31" t="s">
        <v>5</v>
      </c>
      <c r="P31" t="s">
        <v>49</v>
      </c>
      <c r="Q31">
        <v>6</v>
      </c>
      <c r="AA31">
        <v>51816</v>
      </c>
      <c r="AB31" t="s">
        <v>106</v>
      </c>
      <c r="AC31" t="s">
        <v>295</v>
      </c>
      <c r="AD31">
        <f t="shared" si="0"/>
        <v>8</v>
      </c>
      <c r="AE31">
        <f t="shared" si="1"/>
        <v>480821</v>
      </c>
      <c r="AG31" t="s">
        <v>5</v>
      </c>
      <c r="AH31" t="s">
        <v>49</v>
      </c>
      <c r="AI31" t="s">
        <v>203</v>
      </c>
      <c r="AJ31">
        <f t="shared" si="2"/>
        <v>2</v>
      </c>
      <c r="BF31" t="s">
        <v>49</v>
      </c>
      <c r="BG31" t="s">
        <v>5</v>
      </c>
      <c r="BH31">
        <v>6</v>
      </c>
      <c r="BI31" t="s">
        <v>496</v>
      </c>
      <c r="BK31" s="6" t="s">
        <v>29</v>
      </c>
      <c r="BL31">
        <f t="shared" si="20"/>
        <v>1</v>
      </c>
      <c r="BM31">
        <f t="shared" si="20"/>
        <v>5</v>
      </c>
      <c r="BN31">
        <f t="shared" si="20"/>
        <v>0</v>
      </c>
      <c r="BO31">
        <f t="shared" si="20"/>
        <v>4</v>
      </c>
      <c r="BP31">
        <f t="shared" si="20"/>
        <v>5</v>
      </c>
      <c r="BQ31">
        <f t="shared" si="20"/>
        <v>2</v>
      </c>
      <c r="BR31">
        <f t="shared" si="20"/>
        <v>3</v>
      </c>
      <c r="BS31">
        <f t="shared" si="20"/>
        <v>0</v>
      </c>
      <c r="BT31">
        <f t="shared" si="20"/>
        <v>0</v>
      </c>
      <c r="BU31">
        <f t="shared" si="20"/>
        <v>2</v>
      </c>
      <c r="BV31">
        <f t="shared" si="20"/>
        <v>3</v>
      </c>
      <c r="BW31">
        <f t="shared" si="20"/>
        <v>1</v>
      </c>
      <c r="BX31">
        <f t="shared" si="20"/>
        <v>1</v>
      </c>
      <c r="CG31" t="s">
        <v>5</v>
      </c>
      <c r="CH31" t="s">
        <v>49</v>
      </c>
      <c r="CI31">
        <v>51816</v>
      </c>
      <c r="CJ31" t="s">
        <v>496</v>
      </c>
    </row>
    <row r="32" spans="1:110" x14ac:dyDescent="0.25">
      <c r="A32" t="s">
        <v>5</v>
      </c>
      <c r="B32" t="s">
        <v>50</v>
      </c>
      <c r="C32" t="s">
        <v>47</v>
      </c>
      <c r="D32">
        <v>75480</v>
      </c>
      <c r="E32">
        <v>9</v>
      </c>
      <c r="F32" s="24" t="str">
        <f t="shared" si="8"/>
        <v>2023-9</v>
      </c>
      <c r="O32" t="s">
        <v>5</v>
      </c>
      <c r="P32" t="s">
        <v>50</v>
      </c>
      <c r="Q32">
        <v>9</v>
      </c>
      <c r="AA32">
        <v>75480</v>
      </c>
      <c r="AB32" t="s">
        <v>12</v>
      </c>
      <c r="AC32" t="s">
        <v>12</v>
      </c>
      <c r="AD32">
        <f t="shared" si="0"/>
        <v>7</v>
      </c>
      <c r="AE32">
        <f t="shared" si="1"/>
        <v>405652</v>
      </c>
      <c r="AG32" t="s">
        <v>5</v>
      </c>
      <c r="AH32" t="s">
        <v>50</v>
      </c>
      <c r="AI32" t="s">
        <v>224</v>
      </c>
      <c r="AJ32">
        <f t="shared" si="2"/>
        <v>2</v>
      </c>
      <c r="BF32" t="s">
        <v>50</v>
      </c>
      <c r="BG32" t="s">
        <v>5</v>
      </c>
      <c r="BH32">
        <v>9</v>
      </c>
      <c r="BI32" t="s">
        <v>496</v>
      </c>
      <c r="BK32" s="6" t="s">
        <v>5</v>
      </c>
      <c r="BL32">
        <f t="shared" si="20"/>
        <v>7</v>
      </c>
      <c r="BM32">
        <f t="shared" si="20"/>
        <v>1</v>
      </c>
      <c r="BN32">
        <f t="shared" si="20"/>
        <v>4</v>
      </c>
      <c r="BO32">
        <f t="shared" si="20"/>
        <v>7</v>
      </c>
      <c r="BP32">
        <f t="shared" si="20"/>
        <v>5</v>
      </c>
      <c r="BQ32">
        <f t="shared" si="20"/>
        <v>1</v>
      </c>
      <c r="BR32">
        <f t="shared" si="20"/>
        <v>2</v>
      </c>
      <c r="BS32">
        <f t="shared" si="20"/>
        <v>2</v>
      </c>
      <c r="BT32">
        <f t="shared" si="20"/>
        <v>4</v>
      </c>
      <c r="BU32">
        <f t="shared" si="20"/>
        <v>2</v>
      </c>
      <c r="BV32">
        <f t="shared" si="20"/>
        <v>1</v>
      </c>
      <c r="BW32">
        <f t="shared" si="20"/>
        <v>4</v>
      </c>
      <c r="BX32">
        <f t="shared" si="20"/>
        <v>0</v>
      </c>
      <c r="CG32" t="s">
        <v>5</v>
      </c>
      <c r="CH32" t="s">
        <v>50</v>
      </c>
      <c r="CI32">
        <v>75480</v>
      </c>
      <c r="CJ32" t="s">
        <v>496</v>
      </c>
    </row>
    <row r="33" spans="1:88" x14ac:dyDescent="0.25">
      <c r="A33" t="s">
        <v>5</v>
      </c>
      <c r="B33" t="s">
        <v>51</v>
      </c>
      <c r="C33" t="s">
        <v>47</v>
      </c>
      <c r="D33">
        <v>76209</v>
      </c>
      <c r="E33">
        <v>8</v>
      </c>
      <c r="F33" s="24" t="str">
        <f t="shared" si="8"/>
        <v>2023-9</v>
      </c>
      <c r="O33" t="s">
        <v>5</v>
      </c>
      <c r="P33" t="s">
        <v>51</v>
      </c>
      <c r="Q33">
        <v>8</v>
      </c>
      <c r="AA33">
        <v>76209</v>
      </c>
      <c r="AB33" t="s">
        <v>19</v>
      </c>
      <c r="AC33" t="s">
        <v>19</v>
      </c>
      <c r="AD33">
        <f t="shared" si="0"/>
        <v>7</v>
      </c>
      <c r="AE33">
        <f t="shared" si="1"/>
        <v>360166</v>
      </c>
      <c r="AG33" t="s">
        <v>5</v>
      </c>
      <c r="AH33" t="s">
        <v>51</v>
      </c>
      <c r="AI33" t="s">
        <v>227</v>
      </c>
      <c r="AJ33">
        <f t="shared" si="2"/>
        <v>2</v>
      </c>
      <c r="BF33" t="s">
        <v>51</v>
      </c>
      <c r="BG33" t="s">
        <v>5</v>
      </c>
      <c r="BH33">
        <v>8</v>
      </c>
      <c r="BI33" t="s">
        <v>496</v>
      </c>
      <c r="BK33" s="6" t="s">
        <v>14</v>
      </c>
      <c r="BL33">
        <f t="shared" si="20"/>
        <v>1</v>
      </c>
      <c r="BM33">
        <f t="shared" si="20"/>
        <v>3</v>
      </c>
      <c r="BN33">
        <f t="shared" si="20"/>
        <v>6</v>
      </c>
      <c r="BO33">
        <f t="shared" si="20"/>
        <v>1</v>
      </c>
      <c r="BP33">
        <f t="shared" si="20"/>
        <v>2</v>
      </c>
      <c r="BQ33">
        <f t="shared" si="20"/>
        <v>2</v>
      </c>
      <c r="BR33">
        <f t="shared" si="20"/>
        <v>4</v>
      </c>
      <c r="BS33">
        <f t="shared" si="20"/>
        <v>3</v>
      </c>
      <c r="BT33">
        <f t="shared" si="20"/>
        <v>1</v>
      </c>
      <c r="BU33">
        <f t="shared" si="20"/>
        <v>3</v>
      </c>
      <c r="BV33">
        <f t="shared" si="20"/>
        <v>0</v>
      </c>
      <c r="BW33">
        <f t="shared" si="20"/>
        <v>2</v>
      </c>
      <c r="BX33">
        <f t="shared" si="20"/>
        <v>0</v>
      </c>
      <c r="CG33" t="s">
        <v>5</v>
      </c>
      <c r="CH33" t="s">
        <v>51</v>
      </c>
      <c r="CI33">
        <v>76209</v>
      </c>
      <c r="CJ33" t="s">
        <v>496</v>
      </c>
    </row>
    <row r="34" spans="1:88" x14ac:dyDescent="0.25">
      <c r="A34" t="s">
        <v>21</v>
      </c>
      <c r="B34" t="s">
        <v>52</v>
      </c>
      <c r="C34" t="s">
        <v>47</v>
      </c>
      <c r="D34">
        <v>59507</v>
      </c>
      <c r="E34">
        <v>8</v>
      </c>
      <c r="F34" s="24" t="str">
        <f t="shared" si="8"/>
        <v>2023-9</v>
      </c>
      <c r="O34" t="s">
        <v>21</v>
      </c>
      <c r="P34" t="s">
        <v>52</v>
      </c>
      <c r="Q34">
        <v>8</v>
      </c>
      <c r="AA34">
        <v>59507</v>
      </c>
      <c r="AB34" t="s">
        <v>64</v>
      </c>
      <c r="AC34" t="s">
        <v>70</v>
      </c>
      <c r="AD34">
        <f t="shared" si="0"/>
        <v>7</v>
      </c>
      <c r="AE34">
        <f t="shared" si="1"/>
        <v>217497</v>
      </c>
      <c r="AG34" t="s">
        <v>21</v>
      </c>
      <c r="AH34" t="s">
        <v>52</v>
      </c>
      <c r="AI34" t="s">
        <v>239</v>
      </c>
      <c r="AJ34">
        <f t="shared" ref="AJ34:AJ65" si="21">COUNTIF(AH:AH,AI34)</f>
        <v>2</v>
      </c>
      <c r="BF34" t="s">
        <v>52</v>
      </c>
      <c r="BG34" t="s">
        <v>21</v>
      </c>
      <c r="BH34">
        <v>8</v>
      </c>
      <c r="BI34" t="s">
        <v>496</v>
      </c>
      <c r="CG34" t="s">
        <v>21</v>
      </c>
      <c r="CH34" t="s">
        <v>52</v>
      </c>
      <c r="CI34">
        <v>59507</v>
      </c>
      <c r="CJ34" t="s">
        <v>496</v>
      </c>
    </row>
    <row r="35" spans="1:88" x14ac:dyDescent="0.25">
      <c r="A35" t="s">
        <v>14</v>
      </c>
      <c r="B35" t="s">
        <v>24</v>
      </c>
      <c r="C35" t="s">
        <v>47</v>
      </c>
      <c r="D35">
        <v>42697</v>
      </c>
      <c r="E35">
        <v>10</v>
      </c>
      <c r="F35" s="24" t="str">
        <f t="shared" si="8"/>
        <v>2023-9</v>
      </c>
      <c r="O35" t="s">
        <v>14</v>
      </c>
      <c r="P35" t="s">
        <v>24</v>
      </c>
      <c r="Q35">
        <v>10</v>
      </c>
      <c r="AA35">
        <v>42697</v>
      </c>
      <c r="AB35" t="s">
        <v>46</v>
      </c>
      <c r="AC35" t="s">
        <v>76</v>
      </c>
      <c r="AD35">
        <f t="shared" si="0"/>
        <v>7</v>
      </c>
      <c r="AE35">
        <f t="shared" si="1"/>
        <v>332775</v>
      </c>
      <c r="AG35" t="s">
        <v>14</v>
      </c>
      <c r="AH35" t="s">
        <v>24</v>
      </c>
      <c r="AI35" t="s">
        <v>275</v>
      </c>
      <c r="AJ35">
        <f t="shared" si="21"/>
        <v>2</v>
      </c>
      <c r="BF35" t="s">
        <v>24</v>
      </c>
      <c r="BG35" t="s">
        <v>14</v>
      </c>
      <c r="BH35">
        <v>10</v>
      </c>
      <c r="BI35" t="s">
        <v>496</v>
      </c>
      <c r="CG35" t="s">
        <v>14</v>
      </c>
      <c r="CH35" t="s">
        <v>24</v>
      </c>
      <c r="CI35">
        <v>42697</v>
      </c>
      <c r="CJ35" t="s">
        <v>496</v>
      </c>
    </row>
    <row r="36" spans="1:88" x14ac:dyDescent="0.25">
      <c r="A36" t="s">
        <v>53</v>
      </c>
      <c r="B36" t="s">
        <v>54</v>
      </c>
      <c r="C36" t="s">
        <v>47</v>
      </c>
      <c r="D36">
        <v>20702</v>
      </c>
      <c r="E36">
        <v>1</v>
      </c>
      <c r="F36" s="24" t="str">
        <f t="shared" si="8"/>
        <v>2023-9</v>
      </c>
      <c r="O36" t="s">
        <v>53</v>
      </c>
      <c r="P36" t="s">
        <v>54</v>
      </c>
      <c r="Q36">
        <v>1</v>
      </c>
      <c r="AA36">
        <v>20702</v>
      </c>
      <c r="AB36" t="s">
        <v>70</v>
      </c>
      <c r="AC36" t="s">
        <v>79</v>
      </c>
      <c r="AD36">
        <f t="shared" si="0"/>
        <v>7</v>
      </c>
      <c r="AE36">
        <f t="shared" si="1"/>
        <v>325282</v>
      </c>
      <c r="AG36" t="s">
        <v>53</v>
      </c>
      <c r="AH36" t="s">
        <v>54</v>
      </c>
      <c r="AI36" t="s">
        <v>287</v>
      </c>
      <c r="AJ36">
        <f t="shared" si="21"/>
        <v>2</v>
      </c>
      <c r="BF36" t="s">
        <v>54</v>
      </c>
      <c r="BG36" t="s">
        <v>53</v>
      </c>
      <c r="BH36">
        <v>1</v>
      </c>
      <c r="BI36" t="s">
        <v>496</v>
      </c>
      <c r="CG36" t="s">
        <v>53</v>
      </c>
      <c r="CH36" t="s">
        <v>54</v>
      </c>
      <c r="CI36">
        <v>20702</v>
      </c>
      <c r="CJ36" t="s">
        <v>496</v>
      </c>
    </row>
    <row r="37" spans="1:88" x14ac:dyDescent="0.25">
      <c r="A37" t="s">
        <v>55</v>
      </c>
      <c r="B37" t="s">
        <v>56</v>
      </c>
      <c r="C37" t="s">
        <v>47</v>
      </c>
      <c r="D37">
        <v>52141</v>
      </c>
      <c r="E37">
        <v>8</v>
      </c>
      <c r="F37" s="24" t="str">
        <f t="shared" si="8"/>
        <v>2023-9</v>
      </c>
      <c r="O37" t="s">
        <v>55</v>
      </c>
      <c r="P37" t="s">
        <v>56</v>
      </c>
      <c r="Q37">
        <v>8</v>
      </c>
      <c r="AA37">
        <v>52141</v>
      </c>
      <c r="AB37" t="s">
        <v>78</v>
      </c>
      <c r="AC37" t="s">
        <v>90</v>
      </c>
      <c r="AD37">
        <f t="shared" si="0"/>
        <v>7</v>
      </c>
      <c r="AE37">
        <f t="shared" si="1"/>
        <v>465416</v>
      </c>
      <c r="AG37" t="s">
        <v>55</v>
      </c>
      <c r="AH37" t="s">
        <v>56</v>
      </c>
      <c r="AI37" t="s">
        <v>306</v>
      </c>
      <c r="AJ37">
        <f t="shared" si="21"/>
        <v>2</v>
      </c>
      <c r="BF37" t="s">
        <v>56</v>
      </c>
      <c r="BG37" t="s">
        <v>55</v>
      </c>
      <c r="BH37">
        <v>8</v>
      </c>
      <c r="BI37" t="s">
        <v>496</v>
      </c>
      <c r="BK37" t="s">
        <v>524</v>
      </c>
      <c r="CG37" t="s">
        <v>55</v>
      </c>
      <c r="CH37" t="s">
        <v>56</v>
      </c>
      <c r="CI37">
        <v>52141</v>
      </c>
      <c r="CJ37" t="s">
        <v>496</v>
      </c>
    </row>
    <row r="38" spans="1:88" x14ac:dyDescent="0.25">
      <c r="A38" t="s">
        <v>37</v>
      </c>
      <c r="B38" t="s">
        <v>39</v>
      </c>
      <c r="C38" t="s">
        <v>57</v>
      </c>
      <c r="D38">
        <v>49245</v>
      </c>
      <c r="E38">
        <v>7</v>
      </c>
      <c r="F38" s="24" t="str">
        <f t="shared" si="8"/>
        <v>2023-9</v>
      </c>
      <c r="O38" t="s">
        <v>5</v>
      </c>
      <c r="P38" t="s">
        <v>58</v>
      </c>
      <c r="Q38">
        <v>5</v>
      </c>
      <c r="AA38">
        <v>49245</v>
      </c>
      <c r="AB38" t="s">
        <v>84</v>
      </c>
      <c r="AC38" t="s">
        <v>98</v>
      </c>
      <c r="AD38">
        <f t="shared" si="0"/>
        <v>7</v>
      </c>
      <c r="AE38">
        <f t="shared" si="1"/>
        <v>262099</v>
      </c>
      <c r="AG38" t="s">
        <v>5</v>
      </c>
      <c r="AH38" t="s">
        <v>58</v>
      </c>
      <c r="AI38" t="s">
        <v>314</v>
      </c>
      <c r="AJ38">
        <f t="shared" si="21"/>
        <v>2</v>
      </c>
      <c r="BF38" t="s">
        <v>58</v>
      </c>
      <c r="BG38" t="s">
        <v>5</v>
      </c>
      <c r="BH38">
        <v>5</v>
      </c>
      <c r="BI38" t="s">
        <v>496</v>
      </c>
      <c r="BK38" t="s">
        <v>466</v>
      </c>
      <c r="BL38" t="s">
        <v>496</v>
      </c>
      <c r="BM38" t="s">
        <v>497</v>
      </c>
      <c r="BN38" t="s">
        <v>498</v>
      </c>
      <c r="BO38" t="s">
        <v>499</v>
      </c>
      <c r="BP38" t="s">
        <v>500</v>
      </c>
      <c r="BQ38" t="s">
        <v>501</v>
      </c>
      <c r="BR38" t="s">
        <v>502</v>
      </c>
      <c r="BS38" t="s">
        <v>503</v>
      </c>
      <c r="BT38" t="s">
        <v>504</v>
      </c>
      <c r="BU38" t="s">
        <v>505</v>
      </c>
      <c r="BV38" t="s">
        <v>506</v>
      </c>
      <c r="BW38" t="s">
        <v>507</v>
      </c>
      <c r="BX38" t="s">
        <v>508</v>
      </c>
      <c r="CG38" t="s">
        <v>37</v>
      </c>
      <c r="CH38" t="s">
        <v>39</v>
      </c>
      <c r="CI38">
        <v>49245</v>
      </c>
      <c r="CJ38" t="s">
        <v>496</v>
      </c>
    </row>
    <row r="39" spans="1:88" x14ac:dyDescent="0.25">
      <c r="A39" t="s">
        <v>5</v>
      </c>
      <c r="B39" t="s">
        <v>58</v>
      </c>
      <c r="C39" t="s">
        <v>57</v>
      </c>
      <c r="D39">
        <v>20742</v>
      </c>
      <c r="E39">
        <v>5</v>
      </c>
      <c r="F39" s="24" t="str">
        <f t="shared" si="8"/>
        <v>2023-9</v>
      </c>
      <c r="O39" t="s">
        <v>8</v>
      </c>
      <c r="P39" t="s">
        <v>36</v>
      </c>
      <c r="Q39">
        <v>6</v>
      </c>
      <c r="AA39">
        <v>20742</v>
      </c>
      <c r="AB39" t="s">
        <v>87</v>
      </c>
      <c r="AC39" t="s">
        <v>101</v>
      </c>
      <c r="AD39">
        <f t="shared" si="0"/>
        <v>7</v>
      </c>
      <c r="AE39">
        <f t="shared" si="1"/>
        <v>338902</v>
      </c>
      <c r="AG39" t="s">
        <v>8</v>
      </c>
      <c r="AH39" t="s">
        <v>36</v>
      </c>
      <c r="AI39" t="s">
        <v>319</v>
      </c>
      <c r="AJ39">
        <f t="shared" si="21"/>
        <v>2</v>
      </c>
      <c r="BF39" t="s">
        <v>36</v>
      </c>
      <c r="BG39" t="s">
        <v>8</v>
      </c>
      <c r="BH39">
        <v>6</v>
      </c>
      <c r="BI39" t="s">
        <v>496</v>
      </c>
      <c r="BK39" t="s">
        <v>16</v>
      </c>
      <c r="BL39">
        <f>COUNTIFS($BG:$BG,$BK22,$BI:$BI,BL$21,$BH:$BH,"&gt;8")</f>
        <v>1</v>
      </c>
      <c r="BM39">
        <f t="shared" ref="BM39:BX39" si="22">COUNTIFS($BG:$BG,$BK22,$BI:$BI,BM$21,$BH:$BH,"&gt;8")</f>
        <v>2</v>
      </c>
      <c r="BN39">
        <f t="shared" si="22"/>
        <v>1</v>
      </c>
      <c r="BO39">
        <f t="shared" si="22"/>
        <v>1</v>
      </c>
      <c r="BP39">
        <f t="shared" si="22"/>
        <v>0</v>
      </c>
      <c r="BQ39">
        <f t="shared" si="22"/>
        <v>0</v>
      </c>
      <c r="BR39">
        <f t="shared" si="22"/>
        <v>1</v>
      </c>
      <c r="BS39">
        <f t="shared" si="22"/>
        <v>0</v>
      </c>
      <c r="BT39">
        <f t="shared" si="22"/>
        <v>0</v>
      </c>
      <c r="BU39">
        <f t="shared" si="22"/>
        <v>0</v>
      </c>
      <c r="BV39">
        <f t="shared" si="22"/>
        <v>0</v>
      </c>
      <c r="BW39">
        <f t="shared" si="22"/>
        <v>1</v>
      </c>
      <c r="BX39">
        <f t="shared" si="22"/>
        <v>1</v>
      </c>
      <c r="CG39" t="s">
        <v>5</v>
      </c>
      <c r="CH39" t="s">
        <v>58</v>
      </c>
      <c r="CI39">
        <v>20742</v>
      </c>
      <c r="CJ39" t="s">
        <v>496</v>
      </c>
    </row>
    <row r="40" spans="1:88" x14ac:dyDescent="0.25">
      <c r="A40" t="s">
        <v>8</v>
      </c>
      <c r="B40" t="s">
        <v>36</v>
      </c>
      <c r="C40" t="s">
        <v>59</v>
      </c>
      <c r="D40">
        <v>52620</v>
      </c>
      <c r="E40">
        <v>6</v>
      </c>
      <c r="F40" s="24" t="str">
        <f t="shared" si="8"/>
        <v>2023-9</v>
      </c>
      <c r="O40" t="s">
        <v>53</v>
      </c>
      <c r="P40" t="s">
        <v>39</v>
      </c>
      <c r="Q40">
        <v>4</v>
      </c>
      <c r="AA40">
        <v>52620</v>
      </c>
      <c r="AB40" t="s">
        <v>79</v>
      </c>
      <c r="AC40" t="s">
        <v>110</v>
      </c>
      <c r="AD40">
        <f t="shared" si="0"/>
        <v>7</v>
      </c>
      <c r="AE40">
        <f t="shared" si="1"/>
        <v>334190</v>
      </c>
      <c r="AG40" t="s">
        <v>53</v>
      </c>
      <c r="AH40" t="s">
        <v>39</v>
      </c>
      <c r="AI40" t="s">
        <v>325</v>
      </c>
      <c r="AJ40">
        <f t="shared" si="21"/>
        <v>2</v>
      </c>
      <c r="BF40" t="s">
        <v>39</v>
      </c>
      <c r="BG40" t="s">
        <v>53</v>
      </c>
      <c r="BH40">
        <v>4</v>
      </c>
      <c r="BI40" t="s">
        <v>496</v>
      </c>
      <c r="BK40" t="s">
        <v>21</v>
      </c>
      <c r="BL40">
        <f t="shared" ref="BL40:BX50" si="23">COUNTIFS($BG:$BG,$BK23,$BI:$BI,BL$21,$BH:$BH,"&gt;8")</f>
        <v>0</v>
      </c>
      <c r="BM40">
        <f t="shared" si="23"/>
        <v>0</v>
      </c>
      <c r="BN40">
        <f t="shared" si="23"/>
        <v>0</v>
      </c>
      <c r="BO40">
        <f t="shared" si="23"/>
        <v>1</v>
      </c>
      <c r="BP40">
        <f t="shared" si="23"/>
        <v>1</v>
      </c>
      <c r="BQ40">
        <f t="shared" si="23"/>
        <v>0</v>
      </c>
      <c r="BR40">
        <f t="shared" si="23"/>
        <v>0</v>
      </c>
      <c r="BS40">
        <f t="shared" si="23"/>
        <v>2</v>
      </c>
      <c r="BT40">
        <f t="shared" si="23"/>
        <v>0</v>
      </c>
      <c r="BU40">
        <f t="shared" si="23"/>
        <v>1</v>
      </c>
      <c r="BV40">
        <f t="shared" si="23"/>
        <v>0</v>
      </c>
      <c r="BW40">
        <f t="shared" si="23"/>
        <v>0</v>
      </c>
      <c r="BX40">
        <f t="shared" si="23"/>
        <v>0</v>
      </c>
      <c r="CG40" t="s">
        <v>8</v>
      </c>
      <c r="CH40" t="s">
        <v>36</v>
      </c>
      <c r="CI40">
        <v>52620</v>
      </c>
      <c r="CJ40" t="s">
        <v>496</v>
      </c>
    </row>
    <row r="41" spans="1:88" x14ac:dyDescent="0.25">
      <c r="A41" t="s">
        <v>53</v>
      </c>
      <c r="B41" t="s">
        <v>39</v>
      </c>
      <c r="C41" t="s">
        <v>60</v>
      </c>
      <c r="D41">
        <v>37224</v>
      </c>
      <c r="E41">
        <v>4</v>
      </c>
      <c r="F41" s="24" t="str">
        <f t="shared" si="8"/>
        <v>2023-9</v>
      </c>
      <c r="O41" t="s">
        <v>35</v>
      </c>
      <c r="P41" t="s">
        <v>61</v>
      </c>
      <c r="Q41">
        <v>4</v>
      </c>
      <c r="AA41">
        <v>37224</v>
      </c>
      <c r="AB41" t="s">
        <v>106</v>
      </c>
      <c r="AC41" t="s">
        <v>125</v>
      </c>
      <c r="AD41">
        <f t="shared" si="0"/>
        <v>7</v>
      </c>
      <c r="AE41">
        <f t="shared" si="1"/>
        <v>461786</v>
      </c>
      <c r="AG41" t="s">
        <v>35</v>
      </c>
      <c r="AH41" t="s">
        <v>61</v>
      </c>
      <c r="AI41" t="s">
        <v>385</v>
      </c>
      <c r="AJ41">
        <f t="shared" si="21"/>
        <v>2</v>
      </c>
      <c r="BF41" t="s">
        <v>61</v>
      </c>
      <c r="BG41" t="s">
        <v>35</v>
      </c>
      <c r="BH41">
        <v>4</v>
      </c>
      <c r="BI41" t="s">
        <v>496</v>
      </c>
      <c r="BK41" t="s">
        <v>8</v>
      </c>
      <c r="BL41">
        <f t="shared" si="23"/>
        <v>1</v>
      </c>
      <c r="BM41">
        <f t="shared" si="23"/>
        <v>1</v>
      </c>
      <c r="BN41">
        <f t="shared" si="23"/>
        <v>1</v>
      </c>
      <c r="BO41">
        <f t="shared" si="23"/>
        <v>1</v>
      </c>
      <c r="BP41">
        <f t="shared" si="23"/>
        <v>2</v>
      </c>
      <c r="BQ41">
        <f t="shared" si="23"/>
        <v>0</v>
      </c>
      <c r="BR41">
        <f t="shared" si="23"/>
        <v>0</v>
      </c>
      <c r="BS41">
        <f t="shared" si="23"/>
        <v>3</v>
      </c>
      <c r="BT41">
        <f t="shared" si="23"/>
        <v>0</v>
      </c>
      <c r="BU41">
        <f t="shared" si="23"/>
        <v>1</v>
      </c>
      <c r="BV41">
        <f t="shared" si="23"/>
        <v>1</v>
      </c>
      <c r="BW41">
        <f t="shared" si="23"/>
        <v>0</v>
      </c>
      <c r="BX41">
        <f t="shared" si="23"/>
        <v>0</v>
      </c>
      <c r="CG41" t="s">
        <v>53</v>
      </c>
      <c r="CH41" t="s">
        <v>39</v>
      </c>
      <c r="CI41">
        <v>37224</v>
      </c>
      <c r="CJ41" t="s">
        <v>496</v>
      </c>
    </row>
    <row r="42" spans="1:88" x14ac:dyDescent="0.25">
      <c r="A42" t="s">
        <v>35</v>
      </c>
      <c r="B42" t="s">
        <v>61</v>
      </c>
      <c r="C42" t="s">
        <v>60</v>
      </c>
      <c r="D42">
        <v>36426</v>
      </c>
      <c r="E42">
        <v>4</v>
      </c>
      <c r="F42" s="24" t="str">
        <f t="shared" si="8"/>
        <v>2023-9</v>
      </c>
      <c r="O42" t="s">
        <v>37</v>
      </c>
      <c r="P42" t="s">
        <v>62</v>
      </c>
      <c r="Q42">
        <v>9</v>
      </c>
      <c r="AA42">
        <v>36426</v>
      </c>
      <c r="AB42" t="s">
        <v>81</v>
      </c>
      <c r="AC42" t="s">
        <v>127</v>
      </c>
      <c r="AD42">
        <f t="shared" si="0"/>
        <v>7</v>
      </c>
      <c r="AE42">
        <f t="shared" si="1"/>
        <v>420831</v>
      </c>
      <c r="AG42" t="s">
        <v>37</v>
      </c>
      <c r="AH42" t="s">
        <v>62</v>
      </c>
      <c r="AI42" t="s">
        <v>418</v>
      </c>
      <c r="AJ42">
        <f t="shared" si="21"/>
        <v>2</v>
      </c>
      <c r="BF42" t="s">
        <v>62</v>
      </c>
      <c r="BG42" t="s">
        <v>37</v>
      </c>
      <c r="BH42">
        <v>9</v>
      </c>
      <c r="BI42" t="s">
        <v>496</v>
      </c>
      <c r="BK42" t="s">
        <v>37</v>
      </c>
      <c r="BL42">
        <f t="shared" si="23"/>
        <v>3</v>
      </c>
      <c r="BM42">
        <f t="shared" si="23"/>
        <v>0</v>
      </c>
      <c r="BN42">
        <f t="shared" si="23"/>
        <v>2</v>
      </c>
      <c r="BO42">
        <f t="shared" si="23"/>
        <v>1</v>
      </c>
      <c r="BP42">
        <f t="shared" si="23"/>
        <v>2</v>
      </c>
      <c r="BQ42">
        <f t="shared" si="23"/>
        <v>1</v>
      </c>
      <c r="BR42">
        <f t="shared" si="23"/>
        <v>1</v>
      </c>
      <c r="BS42">
        <f t="shared" si="23"/>
        <v>1</v>
      </c>
      <c r="BT42">
        <f t="shared" si="23"/>
        <v>1</v>
      </c>
      <c r="BU42">
        <f t="shared" si="23"/>
        <v>0</v>
      </c>
      <c r="BV42">
        <f t="shared" si="23"/>
        <v>0</v>
      </c>
      <c r="BW42">
        <f t="shared" si="23"/>
        <v>0</v>
      </c>
      <c r="BX42">
        <f t="shared" si="23"/>
        <v>0</v>
      </c>
      <c r="CG42" t="s">
        <v>35</v>
      </c>
      <c r="CH42" t="s">
        <v>61</v>
      </c>
      <c r="CI42">
        <v>36426</v>
      </c>
      <c r="CJ42" t="s">
        <v>496</v>
      </c>
    </row>
    <row r="43" spans="1:88" x14ac:dyDescent="0.25">
      <c r="A43" t="s">
        <v>37</v>
      </c>
      <c r="B43" t="s">
        <v>62</v>
      </c>
      <c r="C43" t="s">
        <v>60</v>
      </c>
      <c r="D43">
        <v>53906</v>
      </c>
      <c r="E43">
        <v>9</v>
      </c>
      <c r="F43" s="24" t="str">
        <f t="shared" si="8"/>
        <v>2023-9</v>
      </c>
      <c r="O43" t="s">
        <v>8</v>
      </c>
      <c r="P43" t="s">
        <v>63</v>
      </c>
      <c r="Q43">
        <v>6</v>
      </c>
      <c r="AA43">
        <v>53906</v>
      </c>
      <c r="AB43" t="s">
        <v>118</v>
      </c>
      <c r="AC43" t="s">
        <v>142</v>
      </c>
      <c r="AD43">
        <f t="shared" si="0"/>
        <v>7</v>
      </c>
      <c r="AE43">
        <f t="shared" si="1"/>
        <v>325732</v>
      </c>
      <c r="AG43" t="s">
        <v>8</v>
      </c>
      <c r="AH43" t="s">
        <v>63</v>
      </c>
      <c r="AI43" t="s">
        <v>30</v>
      </c>
      <c r="AJ43">
        <f t="shared" si="21"/>
        <v>3</v>
      </c>
      <c r="BF43" t="s">
        <v>63</v>
      </c>
      <c r="BG43" t="s">
        <v>8</v>
      </c>
      <c r="BH43">
        <v>6</v>
      </c>
      <c r="BI43" t="s">
        <v>496</v>
      </c>
      <c r="BK43" t="s">
        <v>53</v>
      </c>
      <c r="BL43">
        <f t="shared" si="23"/>
        <v>4</v>
      </c>
      <c r="BM43">
        <f t="shared" si="23"/>
        <v>2</v>
      </c>
      <c r="BN43">
        <f t="shared" si="23"/>
        <v>1</v>
      </c>
      <c r="BO43">
        <f t="shared" si="23"/>
        <v>0</v>
      </c>
      <c r="BP43">
        <f t="shared" si="23"/>
        <v>0</v>
      </c>
      <c r="BQ43">
        <f t="shared" si="23"/>
        <v>1</v>
      </c>
      <c r="BR43">
        <f t="shared" si="23"/>
        <v>2</v>
      </c>
      <c r="BS43">
        <f t="shared" si="23"/>
        <v>0</v>
      </c>
      <c r="BT43">
        <f t="shared" si="23"/>
        <v>0</v>
      </c>
      <c r="BU43">
        <f t="shared" si="23"/>
        <v>1</v>
      </c>
      <c r="BV43">
        <f t="shared" si="23"/>
        <v>1</v>
      </c>
      <c r="BW43">
        <f t="shared" si="23"/>
        <v>2</v>
      </c>
      <c r="BX43">
        <f t="shared" si="23"/>
        <v>0</v>
      </c>
      <c r="CG43" t="s">
        <v>37</v>
      </c>
      <c r="CH43" t="s">
        <v>62</v>
      </c>
      <c r="CI43">
        <v>53906</v>
      </c>
      <c r="CJ43" t="s">
        <v>496</v>
      </c>
    </row>
    <row r="44" spans="1:88" x14ac:dyDescent="0.25">
      <c r="A44" t="s">
        <v>8</v>
      </c>
      <c r="B44" t="s">
        <v>63</v>
      </c>
      <c r="C44" t="s">
        <v>60</v>
      </c>
      <c r="D44">
        <v>12277</v>
      </c>
      <c r="E44">
        <v>6</v>
      </c>
      <c r="F44" s="24" t="str">
        <f t="shared" si="8"/>
        <v>2023-9</v>
      </c>
      <c r="O44" t="s">
        <v>35</v>
      </c>
      <c r="P44" t="s">
        <v>64</v>
      </c>
      <c r="Q44">
        <v>5</v>
      </c>
      <c r="AA44">
        <v>12277</v>
      </c>
      <c r="AB44" t="s">
        <v>122</v>
      </c>
      <c r="AC44" t="s">
        <v>149</v>
      </c>
      <c r="AD44">
        <f t="shared" si="0"/>
        <v>7</v>
      </c>
      <c r="AE44">
        <f t="shared" si="1"/>
        <v>375787</v>
      </c>
      <c r="AG44" t="s">
        <v>35</v>
      </c>
      <c r="AH44" t="s">
        <v>64</v>
      </c>
      <c r="AI44" t="s">
        <v>38</v>
      </c>
      <c r="AJ44">
        <f t="shared" si="21"/>
        <v>3</v>
      </c>
      <c r="BF44" t="s">
        <v>64</v>
      </c>
      <c r="BG44" t="s">
        <v>35</v>
      </c>
      <c r="BH44">
        <v>5</v>
      </c>
      <c r="BI44" t="s">
        <v>496</v>
      </c>
      <c r="BK44" t="s">
        <v>10</v>
      </c>
      <c r="BL44">
        <f t="shared" si="23"/>
        <v>0</v>
      </c>
      <c r="BM44">
        <f t="shared" si="23"/>
        <v>2</v>
      </c>
      <c r="BN44">
        <f t="shared" si="23"/>
        <v>2</v>
      </c>
      <c r="BO44">
        <f t="shared" si="23"/>
        <v>1</v>
      </c>
      <c r="BP44">
        <f t="shared" si="23"/>
        <v>0</v>
      </c>
      <c r="BQ44">
        <f t="shared" si="23"/>
        <v>2</v>
      </c>
      <c r="BR44">
        <f t="shared" si="23"/>
        <v>0</v>
      </c>
      <c r="BS44">
        <f t="shared" si="23"/>
        <v>0</v>
      </c>
      <c r="BT44">
        <f t="shared" si="23"/>
        <v>1</v>
      </c>
      <c r="BU44">
        <f t="shared" si="23"/>
        <v>1</v>
      </c>
      <c r="BV44">
        <f t="shared" si="23"/>
        <v>1</v>
      </c>
      <c r="BW44">
        <f t="shared" si="23"/>
        <v>2</v>
      </c>
      <c r="BX44">
        <f t="shared" si="23"/>
        <v>0</v>
      </c>
      <c r="CG44" t="s">
        <v>8</v>
      </c>
      <c r="CH44" t="s">
        <v>63</v>
      </c>
      <c r="CI44">
        <v>12277</v>
      </c>
      <c r="CJ44" t="s">
        <v>496</v>
      </c>
    </row>
    <row r="45" spans="1:88" x14ac:dyDescent="0.25">
      <c r="A45" t="s">
        <v>35</v>
      </c>
      <c r="B45" t="s">
        <v>64</v>
      </c>
      <c r="C45" t="s">
        <v>60</v>
      </c>
      <c r="D45">
        <v>90047</v>
      </c>
      <c r="E45">
        <v>5</v>
      </c>
      <c r="F45" s="24" t="str">
        <f t="shared" si="8"/>
        <v>2023-9</v>
      </c>
      <c r="O45" t="s">
        <v>10</v>
      </c>
      <c r="P45" t="s">
        <v>65</v>
      </c>
      <c r="Q45">
        <v>8</v>
      </c>
      <c r="AA45">
        <v>90047</v>
      </c>
      <c r="AB45" t="s">
        <v>125</v>
      </c>
      <c r="AC45" t="s">
        <v>152</v>
      </c>
      <c r="AD45">
        <f t="shared" si="0"/>
        <v>7</v>
      </c>
      <c r="AE45">
        <f t="shared" si="1"/>
        <v>306276</v>
      </c>
      <c r="AG45" t="s">
        <v>10</v>
      </c>
      <c r="AH45" t="s">
        <v>65</v>
      </c>
      <c r="AI45" t="s">
        <v>44</v>
      </c>
      <c r="AJ45">
        <f t="shared" si="21"/>
        <v>3</v>
      </c>
      <c r="BF45" t="s">
        <v>65</v>
      </c>
      <c r="BG45" t="s">
        <v>10</v>
      </c>
      <c r="BH45">
        <v>8</v>
      </c>
      <c r="BI45" t="s">
        <v>496</v>
      </c>
      <c r="BK45" t="s">
        <v>55</v>
      </c>
      <c r="BL45">
        <f t="shared" si="23"/>
        <v>1</v>
      </c>
      <c r="BM45">
        <f t="shared" si="23"/>
        <v>1</v>
      </c>
      <c r="BN45">
        <f t="shared" si="23"/>
        <v>2</v>
      </c>
      <c r="BO45">
        <f t="shared" si="23"/>
        <v>2</v>
      </c>
      <c r="BP45">
        <f t="shared" si="23"/>
        <v>0</v>
      </c>
      <c r="BQ45">
        <f t="shared" si="23"/>
        <v>0</v>
      </c>
      <c r="BR45">
        <f t="shared" si="23"/>
        <v>0</v>
      </c>
      <c r="BS45">
        <f t="shared" si="23"/>
        <v>0</v>
      </c>
      <c r="BT45">
        <f t="shared" si="23"/>
        <v>0</v>
      </c>
      <c r="BU45">
        <f t="shared" si="23"/>
        <v>0</v>
      </c>
      <c r="BV45">
        <f t="shared" si="23"/>
        <v>1</v>
      </c>
      <c r="BW45">
        <f t="shared" si="23"/>
        <v>1</v>
      </c>
      <c r="BX45">
        <f t="shared" si="23"/>
        <v>0</v>
      </c>
      <c r="CG45" t="s">
        <v>35</v>
      </c>
      <c r="CH45" t="s">
        <v>64</v>
      </c>
      <c r="CI45">
        <v>90047</v>
      </c>
      <c r="CJ45" t="s">
        <v>496</v>
      </c>
    </row>
    <row r="46" spans="1:88" x14ac:dyDescent="0.25">
      <c r="A46" t="s">
        <v>10</v>
      </c>
      <c r="B46" t="s">
        <v>65</v>
      </c>
      <c r="C46" t="s">
        <v>60</v>
      </c>
      <c r="D46">
        <v>72092</v>
      </c>
      <c r="E46">
        <v>8</v>
      </c>
      <c r="F46" s="24" t="str">
        <f t="shared" si="8"/>
        <v>2023-9</v>
      </c>
      <c r="O46" t="s">
        <v>35</v>
      </c>
      <c r="P46" t="s">
        <v>66</v>
      </c>
      <c r="Q46">
        <v>7</v>
      </c>
      <c r="AA46">
        <v>72092</v>
      </c>
      <c r="AB46" t="s">
        <v>11</v>
      </c>
      <c r="AC46" t="s">
        <v>220</v>
      </c>
      <c r="AD46">
        <f t="shared" si="0"/>
        <v>7</v>
      </c>
      <c r="AE46">
        <f t="shared" si="1"/>
        <v>338773</v>
      </c>
      <c r="AG46" t="s">
        <v>35</v>
      </c>
      <c r="AH46" t="s">
        <v>66</v>
      </c>
      <c r="AI46" t="s">
        <v>54</v>
      </c>
      <c r="AJ46">
        <f t="shared" si="21"/>
        <v>3</v>
      </c>
      <c r="BF46" t="s">
        <v>66</v>
      </c>
      <c r="BG46" t="s">
        <v>35</v>
      </c>
      <c r="BH46">
        <v>7</v>
      </c>
      <c r="BI46" t="s">
        <v>496</v>
      </c>
      <c r="BK46" t="s">
        <v>35</v>
      </c>
      <c r="BL46">
        <f t="shared" si="23"/>
        <v>2</v>
      </c>
      <c r="BM46">
        <f t="shared" si="23"/>
        <v>2</v>
      </c>
      <c r="BN46">
        <f t="shared" si="23"/>
        <v>0</v>
      </c>
      <c r="BO46">
        <f t="shared" si="23"/>
        <v>0</v>
      </c>
      <c r="BP46">
        <f t="shared" si="23"/>
        <v>1</v>
      </c>
      <c r="BQ46">
        <f t="shared" si="23"/>
        <v>1</v>
      </c>
      <c r="BR46">
        <f t="shared" si="23"/>
        <v>1</v>
      </c>
      <c r="BS46">
        <f t="shared" si="23"/>
        <v>1</v>
      </c>
      <c r="BT46">
        <f t="shared" si="23"/>
        <v>0</v>
      </c>
      <c r="BU46">
        <f t="shared" si="23"/>
        <v>0</v>
      </c>
      <c r="BV46">
        <f t="shared" si="23"/>
        <v>0</v>
      </c>
      <c r="BW46">
        <f t="shared" si="23"/>
        <v>0</v>
      </c>
      <c r="BX46">
        <f t="shared" si="23"/>
        <v>0</v>
      </c>
      <c r="CG46" t="s">
        <v>10</v>
      </c>
      <c r="CH46" t="s">
        <v>65</v>
      </c>
      <c r="CI46">
        <v>72092</v>
      </c>
      <c r="CJ46" t="s">
        <v>496</v>
      </c>
    </row>
    <row r="47" spans="1:88" x14ac:dyDescent="0.25">
      <c r="A47" t="s">
        <v>35</v>
      </c>
      <c r="B47" t="s">
        <v>66</v>
      </c>
      <c r="C47" t="s">
        <v>67</v>
      </c>
      <c r="D47">
        <v>79422</v>
      </c>
      <c r="E47">
        <v>7</v>
      </c>
      <c r="F47" s="24" t="str">
        <f t="shared" si="8"/>
        <v>2023-9</v>
      </c>
      <c r="O47" t="s">
        <v>35</v>
      </c>
      <c r="P47" t="s">
        <v>68</v>
      </c>
      <c r="Q47">
        <v>10</v>
      </c>
      <c r="AA47">
        <v>79422</v>
      </c>
      <c r="AB47" t="s">
        <v>6</v>
      </c>
      <c r="AC47" t="s">
        <v>6</v>
      </c>
      <c r="AD47">
        <f t="shared" si="0"/>
        <v>6</v>
      </c>
      <c r="AE47">
        <f t="shared" si="1"/>
        <v>459761</v>
      </c>
      <c r="AG47" t="s">
        <v>35</v>
      </c>
      <c r="AH47" t="s">
        <v>68</v>
      </c>
      <c r="AI47" t="s">
        <v>68</v>
      </c>
      <c r="AJ47">
        <f t="shared" si="21"/>
        <v>3</v>
      </c>
      <c r="BF47" t="s">
        <v>68</v>
      </c>
      <c r="BG47" t="s">
        <v>35</v>
      </c>
      <c r="BH47">
        <v>10</v>
      </c>
      <c r="BI47" t="s">
        <v>496</v>
      </c>
      <c r="BK47" t="s">
        <v>75</v>
      </c>
      <c r="BL47">
        <f t="shared" si="23"/>
        <v>1</v>
      </c>
      <c r="BM47">
        <f t="shared" si="23"/>
        <v>1</v>
      </c>
      <c r="BN47">
        <f t="shared" si="23"/>
        <v>0</v>
      </c>
      <c r="BO47">
        <f t="shared" si="23"/>
        <v>2</v>
      </c>
      <c r="BP47">
        <f t="shared" si="23"/>
        <v>1</v>
      </c>
      <c r="BQ47">
        <f t="shared" si="23"/>
        <v>0</v>
      </c>
      <c r="BR47">
        <f t="shared" si="23"/>
        <v>0</v>
      </c>
      <c r="BS47">
        <f t="shared" si="23"/>
        <v>1</v>
      </c>
      <c r="BT47">
        <f t="shared" si="23"/>
        <v>0</v>
      </c>
      <c r="BU47">
        <f t="shared" si="23"/>
        <v>1</v>
      </c>
      <c r="BV47">
        <f t="shared" si="23"/>
        <v>0</v>
      </c>
      <c r="BW47">
        <f t="shared" si="23"/>
        <v>2</v>
      </c>
      <c r="BX47">
        <f t="shared" si="23"/>
        <v>0</v>
      </c>
      <c r="CG47" t="s">
        <v>35</v>
      </c>
      <c r="CH47" t="s">
        <v>66</v>
      </c>
      <c r="CI47">
        <v>79422</v>
      </c>
      <c r="CJ47" t="s">
        <v>496</v>
      </c>
    </row>
    <row r="48" spans="1:88" x14ac:dyDescent="0.25">
      <c r="A48" t="s">
        <v>35</v>
      </c>
      <c r="B48" t="s">
        <v>68</v>
      </c>
      <c r="C48" t="s">
        <v>67</v>
      </c>
      <c r="D48">
        <v>61669</v>
      </c>
      <c r="E48">
        <v>10</v>
      </c>
      <c r="F48" s="24" t="str">
        <f t="shared" si="8"/>
        <v>2023-9</v>
      </c>
      <c r="O48" t="s">
        <v>55</v>
      </c>
      <c r="P48" t="s">
        <v>69</v>
      </c>
      <c r="Q48">
        <v>6</v>
      </c>
      <c r="AA48">
        <v>61669</v>
      </c>
      <c r="AB48" t="s">
        <v>11</v>
      </c>
      <c r="AC48" t="s">
        <v>11</v>
      </c>
      <c r="AD48">
        <f t="shared" si="0"/>
        <v>6</v>
      </c>
      <c r="AE48">
        <f t="shared" si="1"/>
        <v>282076</v>
      </c>
      <c r="AG48" t="s">
        <v>55</v>
      </c>
      <c r="AH48" t="s">
        <v>69</v>
      </c>
      <c r="AI48" t="s">
        <v>72</v>
      </c>
      <c r="AJ48">
        <f t="shared" si="21"/>
        <v>3</v>
      </c>
      <c r="BF48" t="s">
        <v>69</v>
      </c>
      <c r="BG48" t="s">
        <v>55</v>
      </c>
      <c r="BH48">
        <v>6</v>
      </c>
      <c r="BI48" t="s">
        <v>496</v>
      </c>
      <c r="BK48" t="s">
        <v>29</v>
      </c>
      <c r="BL48">
        <f t="shared" si="23"/>
        <v>4</v>
      </c>
      <c r="BM48">
        <f t="shared" si="23"/>
        <v>1</v>
      </c>
      <c r="BN48">
        <f t="shared" si="23"/>
        <v>0</v>
      </c>
      <c r="BO48">
        <f t="shared" si="23"/>
        <v>1</v>
      </c>
      <c r="BP48">
        <f t="shared" si="23"/>
        <v>1</v>
      </c>
      <c r="BQ48">
        <f t="shared" si="23"/>
        <v>0</v>
      </c>
      <c r="BR48">
        <f t="shared" si="23"/>
        <v>2</v>
      </c>
      <c r="BS48">
        <f t="shared" si="23"/>
        <v>0</v>
      </c>
      <c r="BT48">
        <f t="shared" si="23"/>
        <v>1</v>
      </c>
      <c r="BU48">
        <f t="shared" si="23"/>
        <v>0</v>
      </c>
      <c r="BV48">
        <f t="shared" si="23"/>
        <v>0</v>
      </c>
      <c r="BW48">
        <f t="shared" si="23"/>
        <v>3</v>
      </c>
      <c r="BX48">
        <f t="shared" si="23"/>
        <v>0</v>
      </c>
      <c r="CG48" t="s">
        <v>35</v>
      </c>
      <c r="CH48" t="s">
        <v>68</v>
      </c>
      <c r="CI48">
        <v>61669</v>
      </c>
      <c r="CJ48" t="s">
        <v>496</v>
      </c>
    </row>
    <row r="49" spans="1:88" x14ac:dyDescent="0.25">
      <c r="A49" t="s">
        <v>16</v>
      </c>
      <c r="B49" t="s">
        <v>46</v>
      </c>
      <c r="C49" t="s">
        <v>67</v>
      </c>
      <c r="D49">
        <v>20059</v>
      </c>
      <c r="E49">
        <v>9</v>
      </c>
      <c r="F49" s="24" t="str">
        <f t="shared" si="8"/>
        <v>2023-9</v>
      </c>
      <c r="O49" t="s">
        <v>16</v>
      </c>
      <c r="P49" t="s">
        <v>70</v>
      </c>
      <c r="Q49">
        <v>4</v>
      </c>
      <c r="AA49">
        <v>20059</v>
      </c>
      <c r="AB49" t="s">
        <v>25</v>
      </c>
      <c r="AC49" t="s">
        <v>25</v>
      </c>
      <c r="AD49">
        <f t="shared" si="0"/>
        <v>6</v>
      </c>
      <c r="AE49">
        <f t="shared" si="1"/>
        <v>177973</v>
      </c>
      <c r="AG49" t="s">
        <v>16</v>
      </c>
      <c r="AH49" t="s">
        <v>70</v>
      </c>
      <c r="AI49" t="s">
        <v>73</v>
      </c>
      <c r="AJ49">
        <f t="shared" si="21"/>
        <v>3</v>
      </c>
      <c r="BF49" t="s">
        <v>70</v>
      </c>
      <c r="BG49" t="s">
        <v>16</v>
      </c>
      <c r="BH49">
        <v>4</v>
      </c>
      <c r="BI49" t="s">
        <v>496</v>
      </c>
      <c r="BK49" t="s">
        <v>5</v>
      </c>
      <c r="BL49">
        <f t="shared" si="23"/>
        <v>4</v>
      </c>
      <c r="BM49">
        <f t="shared" si="23"/>
        <v>2</v>
      </c>
      <c r="BN49">
        <f t="shared" si="23"/>
        <v>0</v>
      </c>
      <c r="BO49">
        <f t="shared" si="23"/>
        <v>1</v>
      </c>
      <c r="BP49">
        <f t="shared" si="23"/>
        <v>1</v>
      </c>
      <c r="BQ49">
        <f t="shared" si="23"/>
        <v>0</v>
      </c>
      <c r="BR49">
        <f t="shared" si="23"/>
        <v>0</v>
      </c>
      <c r="BS49">
        <f t="shared" si="23"/>
        <v>1</v>
      </c>
      <c r="BT49">
        <f t="shared" si="23"/>
        <v>2</v>
      </c>
      <c r="BU49">
        <f t="shared" si="23"/>
        <v>0</v>
      </c>
      <c r="BV49">
        <f t="shared" si="23"/>
        <v>0</v>
      </c>
      <c r="BW49">
        <f t="shared" si="23"/>
        <v>1</v>
      </c>
      <c r="BX49">
        <f t="shared" si="23"/>
        <v>0</v>
      </c>
      <c r="CG49" t="s">
        <v>16</v>
      </c>
      <c r="CH49" t="s">
        <v>46</v>
      </c>
      <c r="CI49">
        <v>20059</v>
      </c>
      <c r="CJ49" t="s">
        <v>496</v>
      </c>
    </row>
    <row r="50" spans="1:88" x14ac:dyDescent="0.25">
      <c r="A50" t="s">
        <v>55</v>
      </c>
      <c r="B50" t="s">
        <v>69</v>
      </c>
      <c r="C50" t="s">
        <v>67</v>
      </c>
      <c r="D50">
        <v>56049</v>
      </c>
      <c r="E50">
        <v>6</v>
      </c>
      <c r="F50" s="24" t="str">
        <f t="shared" si="8"/>
        <v>2023-9</v>
      </c>
      <c r="O50" t="s">
        <v>8</v>
      </c>
      <c r="P50" t="s">
        <v>71</v>
      </c>
      <c r="Q50">
        <v>7</v>
      </c>
      <c r="AA50">
        <v>56049</v>
      </c>
      <c r="AB50" t="s">
        <v>26</v>
      </c>
      <c r="AC50" t="s">
        <v>26</v>
      </c>
      <c r="AD50">
        <f t="shared" si="0"/>
        <v>6</v>
      </c>
      <c r="AE50">
        <f t="shared" si="1"/>
        <v>306093</v>
      </c>
      <c r="AG50" t="s">
        <v>8</v>
      </c>
      <c r="AH50" t="s">
        <v>71</v>
      </c>
      <c r="AI50" t="s">
        <v>78</v>
      </c>
      <c r="AJ50">
        <f t="shared" si="21"/>
        <v>3</v>
      </c>
      <c r="BF50" t="s">
        <v>71</v>
      </c>
      <c r="BG50" t="s">
        <v>8</v>
      </c>
      <c r="BH50">
        <v>7</v>
      </c>
      <c r="BI50" t="s">
        <v>496</v>
      </c>
      <c r="BK50" t="s">
        <v>14</v>
      </c>
      <c r="BL50">
        <f t="shared" si="23"/>
        <v>1</v>
      </c>
      <c r="BM50">
        <f t="shared" si="23"/>
        <v>0</v>
      </c>
      <c r="BN50">
        <f t="shared" si="23"/>
        <v>0</v>
      </c>
      <c r="BO50">
        <f t="shared" si="23"/>
        <v>0</v>
      </c>
      <c r="BP50">
        <f t="shared" si="23"/>
        <v>1</v>
      </c>
      <c r="BQ50">
        <f t="shared" si="23"/>
        <v>1</v>
      </c>
      <c r="BR50">
        <f t="shared" si="23"/>
        <v>1</v>
      </c>
      <c r="BS50">
        <f t="shared" si="23"/>
        <v>4</v>
      </c>
      <c r="BT50">
        <f t="shared" si="23"/>
        <v>0</v>
      </c>
      <c r="BU50">
        <f t="shared" si="23"/>
        <v>0</v>
      </c>
      <c r="BV50">
        <f t="shared" si="23"/>
        <v>1</v>
      </c>
      <c r="BW50">
        <f t="shared" si="23"/>
        <v>1</v>
      </c>
      <c r="BX50">
        <f t="shared" si="23"/>
        <v>0</v>
      </c>
      <c r="CG50" t="s">
        <v>55</v>
      </c>
      <c r="CH50" t="s">
        <v>69</v>
      </c>
      <c r="CI50">
        <v>56049</v>
      </c>
      <c r="CJ50" t="s">
        <v>496</v>
      </c>
    </row>
    <row r="51" spans="1:88" x14ac:dyDescent="0.25">
      <c r="A51" t="s">
        <v>16</v>
      </c>
      <c r="B51" t="s">
        <v>70</v>
      </c>
      <c r="C51" t="s">
        <v>67</v>
      </c>
      <c r="D51">
        <v>12333</v>
      </c>
      <c r="E51">
        <v>4</v>
      </c>
      <c r="F51" s="24" t="str">
        <f t="shared" si="8"/>
        <v>2023-9</v>
      </c>
      <c r="O51" t="s">
        <v>16</v>
      </c>
      <c r="P51" t="s">
        <v>42</v>
      </c>
      <c r="Q51">
        <v>4</v>
      </c>
      <c r="AA51">
        <v>12333</v>
      </c>
      <c r="AB51" t="s">
        <v>34</v>
      </c>
      <c r="AC51" t="s">
        <v>36</v>
      </c>
      <c r="AD51">
        <f t="shared" si="0"/>
        <v>6</v>
      </c>
      <c r="AE51">
        <f t="shared" si="1"/>
        <v>265594</v>
      </c>
      <c r="AG51" t="s">
        <v>16</v>
      </c>
      <c r="AH51" t="s">
        <v>42</v>
      </c>
      <c r="AI51" t="s">
        <v>86</v>
      </c>
      <c r="AJ51">
        <f t="shared" si="21"/>
        <v>3</v>
      </c>
      <c r="BF51" t="s">
        <v>42</v>
      </c>
      <c r="BG51" t="s">
        <v>16</v>
      </c>
      <c r="BH51">
        <v>4</v>
      </c>
      <c r="BI51" t="s">
        <v>496</v>
      </c>
      <c r="CG51" t="s">
        <v>16</v>
      </c>
      <c r="CH51" t="s">
        <v>70</v>
      </c>
      <c r="CI51">
        <v>12333</v>
      </c>
      <c r="CJ51" t="s">
        <v>496</v>
      </c>
    </row>
    <row r="52" spans="1:88" x14ac:dyDescent="0.25">
      <c r="A52" t="s">
        <v>8</v>
      </c>
      <c r="B52" t="s">
        <v>71</v>
      </c>
      <c r="C52" t="s">
        <v>67</v>
      </c>
      <c r="D52">
        <v>19131</v>
      </c>
      <c r="E52">
        <v>7</v>
      </c>
      <c r="F52" s="24" t="str">
        <f t="shared" si="8"/>
        <v>2023-9</v>
      </c>
      <c r="O52" t="s">
        <v>37</v>
      </c>
      <c r="P52" t="s">
        <v>72</v>
      </c>
      <c r="Q52">
        <v>0</v>
      </c>
      <c r="AA52">
        <v>19131</v>
      </c>
      <c r="AB52" t="s">
        <v>36</v>
      </c>
      <c r="AC52" t="s">
        <v>38</v>
      </c>
      <c r="AD52">
        <f t="shared" si="0"/>
        <v>6</v>
      </c>
      <c r="AE52">
        <f t="shared" si="1"/>
        <v>416327</v>
      </c>
      <c r="AG52" t="s">
        <v>37</v>
      </c>
      <c r="AH52" t="s">
        <v>72</v>
      </c>
      <c r="AI52" t="s">
        <v>91</v>
      </c>
      <c r="AJ52">
        <f t="shared" si="21"/>
        <v>3</v>
      </c>
      <c r="BF52" t="s">
        <v>72</v>
      </c>
      <c r="BG52" t="s">
        <v>37</v>
      </c>
      <c r="BH52">
        <v>0</v>
      </c>
      <c r="BI52" t="s">
        <v>496</v>
      </c>
      <c r="CG52" t="s">
        <v>8</v>
      </c>
      <c r="CH52" t="s">
        <v>71</v>
      </c>
      <c r="CI52">
        <v>19131</v>
      </c>
      <c r="CJ52" t="s">
        <v>496</v>
      </c>
    </row>
    <row r="53" spans="1:88" x14ac:dyDescent="0.25">
      <c r="A53" t="s">
        <v>16</v>
      </c>
      <c r="B53" t="s">
        <v>42</v>
      </c>
      <c r="C53" t="s">
        <v>67</v>
      </c>
      <c r="D53">
        <v>50184</v>
      </c>
      <c r="E53">
        <v>4</v>
      </c>
      <c r="F53" s="24" t="str">
        <f t="shared" si="8"/>
        <v>2023-9</v>
      </c>
      <c r="O53" t="s">
        <v>5</v>
      </c>
      <c r="P53" t="s">
        <v>73</v>
      </c>
      <c r="Q53">
        <v>5</v>
      </c>
      <c r="AA53">
        <v>50184</v>
      </c>
      <c r="AB53" t="s">
        <v>39</v>
      </c>
      <c r="AC53" t="s">
        <v>41</v>
      </c>
      <c r="AD53">
        <f t="shared" si="0"/>
        <v>6</v>
      </c>
      <c r="AE53">
        <f t="shared" si="1"/>
        <v>296845</v>
      </c>
      <c r="AG53" t="s">
        <v>5</v>
      </c>
      <c r="AH53" t="s">
        <v>73</v>
      </c>
      <c r="AI53" t="s">
        <v>106</v>
      </c>
      <c r="AJ53">
        <f t="shared" si="21"/>
        <v>3</v>
      </c>
      <c r="BF53" t="s">
        <v>73</v>
      </c>
      <c r="BG53" t="s">
        <v>5</v>
      </c>
      <c r="BH53">
        <v>5</v>
      </c>
      <c r="BI53" t="s">
        <v>496</v>
      </c>
      <c r="CG53" t="s">
        <v>16</v>
      </c>
      <c r="CH53" t="s">
        <v>42</v>
      </c>
      <c r="CI53">
        <v>50184</v>
      </c>
      <c r="CJ53" t="s">
        <v>496</v>
      </c>
    </row>
    <row r="54" spans="1:88" x14ac:dyDescent="0.25">
      <c r="A54" t="s">
        <v>37</v>
      </c>
      <c r="B54" t="s">
        <v>72</v>
      </c>
      <c r="C54" t="s">
        <v>67</v>
      </c>
      <c r="D54">
        <v>39003</v>
      </c>
      <c r="E54">
        <v>0</v>
      </c>
      <c r="F54" s="24" t="str">
        <f t="shared" si="8"/>
        <v>2023-9</v>
      </c>
      <c r="O54" t="s">
        <v>75</v>
      </c>
      <c r="P54" t="s">
        <v>76</v>
      </c>
      <c r="Q54">
        <v>5</v>
      </c>
      <c r="AA54">
        <v>39003</v>
      </c>
      <c r="AB54" t="s">
        <v>42</v>
      </c>
      <c r="AC54" t="s">
        <v>43</v>
      </c>
      <c r="AD54">
        <f t="shared" si="0"/>
        <v>6</v>
      </c>
      <c r="AE54">
        <f t="shared" si="1"/>
        <v>300475</v>
      </c>
      <c r="AG54" t="s">
        <v>75</v>
      </c>
      <c r="AH54" t="s">
        <v>76</v>
      </c>
      <c r="AI54" t="s">
        <v>132</v>
      </c>
      <c r="AJ54">
        <f t="shared" si="21"/>
        <v>3</v>
      </c>
      <c r="BF54" t="s">
        <v>76</v>
      </c>
      <c r="BG54" t="s">
        <v>75</v>
      </c>
      <c r="BH54">
        <v>5</v>
      </c>
      <c r="BI54" t="s">
        <v>496</v>
      </c>
      <c r="CG54" t="s">
        <v>37</v>
      </c>
      <c r="CH54" t="s">
        <v>72</v>
      </c>
      <c r="CI54">
        <v>39003</v>
      </c>
      <c r="CJ54" t="s">
        <v>496</v>
      </c>
    </row>
    <row r="55" spans="1:88" x14ac:dyDescent="0.25">
      <c r="A55" t="s">
        <v>5</v>
      </c>
      <c r="B55" t="s">
        <v>73</v>
      </c>
      <c r="C55" t="s">
        <v>74</v>
      </c>
      <c r="D55">
        <v>18143</v>
      </c>
      <c r="E55">
        <v>5</v>
      </c>
      <c r="F55" s="24" t="str">
        <f t="shared" si="8"/>
        <v>2023-9</v>
      </c>
      <c r="O55" t="s">
        <v>14</v>
      </c>
      <c r="P55" t="s">
        <v>66</v>
      </c>
      <c r="Q55">
        <v>2</v>
      </c>
      <c r="AA55">
        <v>18143</v>
      </c>
      <c r="AB55" t="s">
        <v>44</v>
      </c>
      <c r="AC55" t="s">
        <v>45</v>
      </c>
      <c r="AD55">
        <f t="shared" si="0"/>
        <v>6</v>
      </c>
      <c r="AE55">
        <f t="shared" si="1"/>
        <v>332146</v>
      </c>
      <c r="AG55" t="s">
        <v>14</v>
      </c>
      <c r="AH55" t="s">
        <v>66</v>
      </c>
      <c r="AI55" t="s">
        <v>143</v>
      </c>
      <c r="AJ55">
        <f t="shared" si="21"/>
        <v>3</v>
      </c>
      <c r="BF55" t="s">
        <v>66</v>
      </c>
      <c r="BG55" t="s">
        <v>14</v>
      </c>
      <c r="BH55">
        <v>2</v>
      </c>
      <c r="BI55" t="s">
        <v>496</v>
      </c>
      <c r="CG55" t="s">
        <v>5</v>
      </c>
      <c r="CH55" t="s">
        <v>73</v>
      </c>
      <c r="CI55">
        <v>18143</v>
      </c>
      <c r="CJ55" t="s">
        <v>496</v>
      </c>
    </row>
    <row r="56" spans="1:88" x14ac:dyDescent="0.25">
      <c r="A56" t="s">
        <v>75</v>
      </c>
      <c r="B56" t="s">
        <v>76</v>
      </c>
      <c r="C56" t="s">
        <v>74</v>
      </c>
      <c r="D56">
        <v>75924</v>
      </c>
      <c r="E56">
        <v>5</v>
      </c>
      <c r="F56" s="24" t="str">
        <f t="shared" si="8"/>
        <v>2023-9</v>
      </c>
      <c r="O56" t="s">
        <v>16</v>
      </c>
      <c r="P56" t="s">
        <v>61</v>
      </c>
      <c r="Q56">
        <v>10</v>
      </c>
      <c r="AA56">
        <v>75924</v>
      </c>
      <c r="AB56" t="s">
        <v>45</v>
      </c>
      <c r="AC56" t="s">
        <v>46</v>
      </c>
      <c r="AD56">
        <f t="shared" si="0"/>
        <v>6</v>
      </c>
      <c r="AE56">
        <f t="shared" si="1"/>
        <v>267307</v>
      </c>
      <c r="AG56" t="s">
        <v>16</v>
      </c>
      <c r="AH56" t="s">
        <v>61</v>
      </c>
      <c r="AI56" t="s">
        <v>144</v>
      </c>
      <c r="AJ56">
        <f t="shared" si="21"/>
        <v>3</v>
      </c>
      <c r="BF56" t="s">
        <v>61</v>
      </c>
      <c r="BG56" t="s">
        <v>16</v>
      </c>
      <c r="BH56">
        <v>10</v>
      </c>
      <c r="BI56" t="s">
        <v>496</v>
      </c>
      <c r="CG56" t="s">
        <v>75</v>
      </c>
      <c r="CH56" t="s">
        <v>76</v>
      </c>
      <c r="CI56">
        <v>75924</v>
      </c>
      <c r="CJ56" t="s">
        <v>496</v>
      </c>
    </row>
    <row r="57" spans="1:88" x14ac:dyDescent="0.25">
      <c r="A57" t="s">
        <v>14</v>
      </c>
      <c r="B57" t="s">
        <v>66</v>
      </c>
      <c r="C57" t="s">
        <v>74</v>
      </c>
      <c r="D57">
        <v>88980</v>
      </c>
      <c r="E57">
        <v>2</v>
      </c>
      <c r="F57" s="24" t="str">
        <f t="shared" si="8"/>
        <v>2023-9</v>
      </c>
      <c r="O57" t="s">
        <v>53</v>
      </c>
      <c r="P57" t="s">
        <v>50</v>
      </c>
      <c r="Q57">
        <v>9</v>
      </c>
      <c r="AA57">
        <v>88980</v>
      </c>
      <c r="AB57" t="s">
        <v>50</v>
      </c>
      <c r="AC57" t="s">
        <v>51</v>
      </c>
      <c r="AD57">
        <f t="shared" si="0"/>
        <v>6</v>
      </c>
      <c r="AE57">
        <f t="shared" si="1"/>
        <v>245405</v>
      </c>
      <c r="AG57" t="s">
        <v>53</v>
      </c>
      <c r="AH57" t="s">
        <v>50</v>
      </c>
      <c r="AI57" t="s">
        <v>147</v>
      </c>
      <c r="AJ57">
        <f t="shared" si="21"/>
        <v>3</v>
      </c>
      <c r="BF57" t="s">
        <v>50</v>
      </c>
      <c r="BG57" t="s">
        <v>53</v>
      </c>
      <c r="BH57">
        <v>9</v>
      </c>
      <c r="BI57" t="s">
        <v>496</v>
      </c>
      <c r="CG57" t="s">
        <v>14</v>
      </c>
      <c r="CH57" t="s">
        <v>66</v>
      </c>
      <c r="CI57">
        <v>88980</v>
      </c>
      <c r="CJ57" t="s">
        <v>496</v>
      </c>
    </row>
    <row r="58" spans="1:88" x14ac:dyDescent="0.25">
      <c r="A58" t="s">
        <v>16</v>
      </c>
      <c r="B58" t="s">
        <v>61</v>
      </c>
      <c r="C58" t="s">
        <v>74</v>
      </c>
      <c r="D58">
        <v>19774</v>
      </c>
      <c r="E58">
        <v>10</v>
      </c>
      <c r="F58" s="24" t="str">
        <f t="shared" si="8"/>
        <v>2023-9</v>
      </c>
      <c r="O58" t="s">
        <v>35</v>
      </c>
      <c r="P58" t="s">
        <v>78</v>
      </c>
      <c r="Q58">
        <v>10</v>
      </c>
      <c r="AA58">
        <v>19774</v>
      </c>
      <c r="AB58" t="s">
        <v>39</v>
      </c>
      <c r="AC58" t="s">
        <v>62</v>
      </c>
      <c r="AD58">
        <f t="shared" si="0"/>
        <v>6</v>
      </c>
      <c r="AE58">
        <f t="shared" si="1"/>
        <v>271797</v>
      </c>
      <c r="AG58" t="s">
        <v>35</v>
      </c>
      <c r="AH58" t="s">
        <v>78</v>
      </c>
      <c r="AI58" t="s">
        <v>155</v>
      </c>
      <c r="AJ58">
        <f t="shared" si="21"/>
        <v>3</v>
      </c>
      <c r="BF58" t="s">
        <v>78</v>
      </c>
      <c r="BG58" t="s">
        <v>35</v>
      </c>
      <c r="BH58">
        <v>10</v>
      </c>
      <c r="BI58" t="s">
        <v>496</v>
      </c>
      <c r="CG58" t="s">
        <v>16</v>
      </c>
      <c r="CH58" t="s">
        <v>61</v>
      </c>
      <c r="CI58">
        <v>19774</v>
      </c>
      <c r="CJ58" t="s">
        <v>496</v>
      </c>
    </row>
    <row r="59" spans="1:88" x14ac:dyDescent="0.25">
      <c r="A59" t="s">
        <v>53</v>
      </c>
      <c r="B59" t="s">
        <v>50</v>
      </c>
      <c r="C59" t="s">
        <v>77</v>
      </c>
      <c r="D59">
        <v>61974</v>
      </c>
      <c r="E59">
        <v>9</v>
      </c>
      <c r="F59" s="24" t="str">
        <f t="shared" si="8"/>
        <v>2023-9</v>
      </c>
      <c r="O59" t="s">
        <v>8</v>
      </c>
      <c r="P59" t="s">
        <v>79</v>
      </c>
      <c r="Q59">
        <v>1</v>
      </c>
      <c r="AA59">
        <v>61974</v>
      </c>
      <c r="AB59" t="s">
        <v>36</v>
      </c>
      <c r="AC59" t="s">
        <v>64</v>
      </c>
      <c r="AD59">
        <f t="shared" si="0"/>
        <v>6</v>
      </c>
      <c r="AE59">
        <f t="shared" si="1"/>
        <v>383753</v>
      </c>
      <c r="AG59" t="s">
        <v>8</v>
      </c>
      <c r="AH59" t="s">
        <v>79</v>
      </c>
      <c r="AI59" t="s">
        <v>158</v>
      </c>
      <c r="AJ59">
        <f t="shared" si="21"/>
        <v>3</v>
      </c>
      <c r="BF59" t="s">
        <v>79</v>
      </c>
      <c r="BG59" t="s">
        <v>8</v>
      </c>
      <c r="BH59">
        <v>1</v>
      </c>
      <c r="BI59" t="s">
        <v>496</v>
      </c>
      <c r="CG59" t="s">
        <v>53</v>
      </c>
      <c r="CH59" t="s">
        <v>50</v>
      </c>
      <c r="CI59">
        <v>61974</v>
      </c>
      <c r="CJ59" t="s">
        <v>496</v>
      </c>
    </row>
    <row r="60" spans="1:88" x14ac:dyDescent="0.25">
      <c r="A60" t="s">
        <v>35</v>
      </c>
      <c r="B60" t="s">
        <v>78</v>
      </c>
      <c r="C60" t="s">
        <v>77</v>
      </c>
      <c r="D60">
        <v>59440</v>
      </c>
      <c r="E60">
        <v>10</v>
      </c>
      <c r="F60" s="24" t="str">
        <f t="shared" si="8"/>
        <v>2023-9</v>
      </c>
      <c r="O60" t="s">
        <v>35</v>
      </c>
      <c r="P60" t="s">
        <v>81</v>
      </c>
      <c r="Q60">
        <v>6</v>
      </c>
      <c r="AA60">
        <v>59440</v>
      </c>
      <c r="AB60" t="s">
        <v>61</v>
      </c>
      <c r="AC60" t="s">
        <v>66</v>
      </c>
      <c r="AD60">
        <f t="shared" si="0"/>
        <v>6</v>
      </c>
      <c r="AE60">
        <f t="shared" si="1"/>
        <v>242218</v>
      </c>
      <c r="AG60" t="s">
        <v>35</v>
      </c>
      <c r="AH60" t="s">
        <v>81</v>
      </c>
      <c r="AI60" t="s">
        <v>169</v>
      </c>
      <c r="AJ60">
        <f t="shared" si="21"/>
        <v>3</v>
      </c>
      <c r="BF60" t="s">
        <v>81</v>
      </c>
      <c r="BG60" t="s">
        <v>35</v>
      </c>
      <c r="BH60">
        <v>6</v>
      </c>
      <c r="BI60" t="s">
        <v>496</v>
      </c>
      <c r="CG60" t="s">
        <v>35</v>
      </c>
      <c r="CH60" t="s">
        <v>78</v>
      </c>
      <c r="CI60">
        <v>59440</v>
      </c>
      <c r="CJ60" t="s">
        <v>496</v>
      </c>
    </row>
    <row r="61" spans="1:88" x14ac:dyDescent="0.25">
      <c r="A61" t="s">
        <v>37</v>
      </c>
      <c r="B61" t="s">
        <v>38</v>
      </c>
      <c r="C61" t="s">
        <v>77</v>
      </c>
      <c r="D61">
        <v>15347</v>
      </c>
      <c r="E61">
        <v>7</v>
      </c>
      <c r="F61" s="24" t="str">
        <f t="shared" si="8"/>
        <v>2023-9</v>
      </c>
      <c r="O61" t="s">
        <v>16</v>
      </c>
      <c r="P61" t="s">
        <v>82</v>
      </c>
      <c r="Q61">
        <v>7</v>
      </c>
      <c r="AA61">
        <v>15347</v>
      </c>
      <c r="AB61" t="s">
        <v>72</v>
      </c>
      <c r="AC61" t="s">
        <v>83</v>
      </c>
      <c r="AD61">
        <f t="shared" si="0"/>
        <v>6</v>
      </c>
      <c r="AE61">
        <f t="shared" si="1"/>
        <v>277098</v>
      </c>
      <c r="AG61" t="s">
        <v>16</v>
      </c>
      <c r="AH61" t="s">
        <v>82</v>
      </c>
      <c r="AI61" t="s">
        <v>171</v>
      </c>
      <c r="AJ61">
        <f t="shared" si="21"/>
        <v>3</v>
      </c>
      <c r="BF61" t="s">
        <v>82</v>
      </c>
      <c r="BG61" t="s">
        <v>16</v>
      </c>
      <c r="BH61">
        <v>7</v>
      </c>
      <c r="BI61" t="s">
        <v>496</v>
      </c>
      <c r="CG61" t="s">
        <v>37</v>
      </c>
      <c r="CH61" t="s">
        <v>38</v>
      </c>
      <c r="CI61">
        <v>15347</v>
      </c>
      <c r="CJ61" t="s">
        <v>496</v>
      </c>
    </row>
    <row r="62" spans="1:88" x14ac:dyDescent="0.25">
      <c r="A62" t="s">
        <v>8</v>
      </c>
      <c r="B62" t="s">
        <v>79</v>
      </c>
      <c r="C62" t="s">
        <v>80</v>
      </c>
      <c r="D62">
        <v>32592</v>
      </c>
      <c r="E62">
        <v>1</v>
      </c>
      <c r="F62" s="24" t="str">
        <f t="shared" si="8"/>
        <v>2023-9</v>
      </c>
      <c r="O62" t="s">
        <v>29</v>
      </c>
      <c r="P62" t="s">
        <v>83</v>
      </c>
      <c r="Q62">
        <v>10</v>
      </c>
      <c r="AA62">
        <v>32592</v>
      </c>
      <c r="AB62" t="s">
        <v>66</v>
      </c>
      <c r="AC62" t="s">
        <v>87</v>
      </c>
      <c r="AD62">
        <f t="shared" si="0"/>
        <v>6</v>
      </c>
      <c r="AE62">
        <f t="shared" si="1"/>
        <v>344291</v>
      </c>
      <c r="AG62" t="s">
        <v>29</v>
      </c>
      <c r="AH62" t="s">
        <v>83</v>
      </c>
      <c r="AI62" t="s">
        <v>174</v>
      </c>
      <c r="AJ62">
        <f t="shared" si="21"/>
        <v>3</v>
      </c>
      <c r="BF62" t="s">
        <v>83</v>
      </c>
      <c r="BG62" t="s">
        <v>29</v>
      </c>
      <c r="BH62">
        <v>10</v>
      </c>
      <c r="BI62" t="s">
        <v>496</v>
      </c>
      <c r="CG62" t="s">
        <v>8</v>
      </c>
      <c r="CH62" t="s">
        <v>79</v>
      </c>
      <c r="CI62">
        <v>32592</v>
      </c>
      <c r="CJ62" t="s">
        <v>496</v>
      </c>
    </row>
    <row r="63" spans="1:88" x14ac:dyDescent="0.25">
      <c r="A63" t="s">
        <v>35</v>
      </c>
      <c r="B63" t="s">
        <v>81</v>
      </c>
      <c r="C63" t="s">
        <v>80</v>
      </c>
      <c r="D63">
        <v>27327</v>
      </c>
      <c r="E63">
        <v>6</v>
      </c>
      <c r="F63" s="24" t="str">
        <f t="shared" si="8"/>
        <v>2023-9</v>
      </c>
      <c r="O63" t="s">
        <v>10</v>
      </c>
      <c r="P63" t="s">
        <v>84</v>
      </c>
      <c r="Q63">
        <v>8</v>
      </c>
      <c r="AA63">
        <v>27327</v>
      </c>
      <c r="AB63" t="s">
        <v>91</v>
      </c>
      <c r="AC63" t="s">
        <v>108</v>
      </c>
      <c r="AD63">
        <f t="shared" si="0"/>
        <v>6</v>
      </c>
      <c r="AE63">
        <f t="shared" si="1"/>
        <v>262877</v>
      </c>
      <c r="AG63" t="s">
        <v>10</v>
      </c>
      <c r="AH63" t="s">
        <v>84</v>
      </c>
      <c r="AI63" t="s">
        <v>179</v>
      </c>
      <c r="AJ63">
        <f t="shared" si="21"/>
        <v>3</v>
      </c>
      <c r="BF63" t="s">
        <v>84</v>
      </c>
      <c r="BG63" t="s">
        <v>10</v>
      </c>
      <c r="BH63">
        <v>8</v>
      </c>
      <c r="BI63" t="s">
        <v>496</v>
      </c>
      <c r="CG63" t="s">
        <v>35</v>
      </c>
      <c r="CH63" t="s">
        <v>81</v>
      </c>
      <c r="CI63">
        <v>27327</v>
      </c>
      <c r="CJ63" t="s">
        <v>496</v>
      </c>
    </row>
    <row r="64" spans="1:88" x14ac:dyDescent="0.25">
      <c r="A64" t="s">
        <v>16</v>
      </c>
      <c r="B64" t="s">
        <v>82</v>
      </c>
      <c r="C64" t="s">
        <v>80</v>
      </c>
      <c r="D64">
        <v>41120</v>
      </c>
      <c r="E64">
        <v>7</v>
      </c>
      <c r="F64" s="24" t="str">
        <f t="shared" si="8"/>
        <v>2023-9</v>
      </c>
      <c r="O64" t="s">
        <v>75</v>
      </c>
      <c r="P64" t="s">
        <v>86</v>
      </c>
      <c r="Q64">
        <v>4</v>
      </c>
      <c r="AA64">
        <v>41120</v>
      </c>
      <c r="AB64" t="s">
        <v>94</v>
      </c>
      <c r="AC64" t="s">
        <v>111</v>
      </c>
      <c r="AD64">
        <f t="shared" si="0"/>
        <v>6</v>
      </c>
      <c r="AE64">
        <f t="shared" si="1"/>
        <v>393372</v>
      </c>
      <c r="AG64" t="s">
        <v>75</v>
      </c>
      <c r="AH64" t="s">
        <v>86</v>
      </c>
      <c r="AI64" t="s">
        <v>181</v>
      </c>
      <c r="AJ64">
        <f t="shared" si="21"/>
        <v>3</v>
      </c>
      <c r="BF64" t="s">
        <v>86</v>
      </c>
      <c r="BG64" t="s">
        <v>75</v>
      </c>
      <c r="BH64">
        <v>4</v>
      </c>
      <c r="BI64" t="s">
        <v>496</v>
      </c>
      <c r="CG64" t="s">
        <v>16</v>
      </c>
      <c r="CH64" t="s">
        <v>82</v>
      </c>
      <c r="CI64">
        <v>41120</v>
      </c>
      <c r="CJ64" t="s">
        <v>496</v>
      </c>
    </row>
    <row r="65" spans="1:88" x14ac:dyDescent="0.25">
      <c r="A65" t="s">
        <v>29</v>
      </c>
      <c r="B65" t="s">
        <v>83</v>
      </c>
      <c r="C65" t="s">
        <v>80</v>
      </c>
      <c r="D65">
        <v>41840</v>
      </c>
      <c r="E65">
        <v>10</v>
      </c>
      <c r="F65" s="24" t="str">
        <f t="shared" si="8"/>
        <v>2023-9</v>
      </c>
      <c r="O65" t="s">
        <v>29</v>
      </c>
      <c r="P65" t="s">
        <v>87</v>
      </c>
      <c r="Q65">
        <v>3</v>
      </c>
      <c r="AA65">
        <v>41840</v>
      </c>
      <c r="AB65" t="s">
        <v>102</v>
      </c>
      <c r="AC65" t="s">
        <v>121</v>
      </c>
      <c r="AD65">
        <f t="shared" si="0"/>
        <v>6</v>
      </c>
      <c r="AE65">
        <f t="shared" si="1"/>
        <v>420999</v>
      </c>
      <c r="AG65" t="s">
        <v>29</v>
      </c>
      <c r="AH65" t="s">
        <v>87</v>
      </c>
      <c r="AI65" t="s">
        <v>183</v>
      </c>
      <c r="AJ65">
        <f t="shared" si="21"/>
        <v>3</v>
      </c>
      <c r="BF65" t="s">
        <v>87</v>
      </c>
      <c r="BG65" t="s">
        <v>29</v>
      </c>
      <c r="BH65">
        <v>3</v>
      </c>
      <c r="BI65" t="s">
        <v>496</v>
      </c>
      <c r="CG65" t="s">
        <v>29</v>
      </c>
      <c r="CH65" t="s">
        <v>83</v>
      </c>
      <c r="CI65">
        <v>41840</v>
      </c>
      <c r="CJ65" t="s">
        <v>496</v>
      </c>
    </row>
    <row r="66" spans="1:88" x14ac:dyDescent="0.25">
      <c r="A66" t="s">
        <v>10</v>
      </c>
      <c r="B66" t="s">
        <v>84</v>
      </c>
      <c r="C66" t="s">
        <v>85</v>
      </c>
      <c r="D66">
        <v>22240</v>
      </c>
      <c r="E66">
        <v>8</v>
      </c>
      <c r="F66" s="24" t="str">
        <f t="shared" si="8"/>
        <v>2023-9</v>
      </c>
      <c r="O66" t="s">
        <v>5</v>
      </c>
      <c r="P66" t="s">
        <v>41</v>
      </c>
      <c r="Q66">
        <v>5</v>
      </c>
      <c r="AA66">
        <v>22240</v>
      </c>
      <c r="AB66" t="s">
        <v>104</v>
      </c>
      <c r="AC66" t="s">
        <v>122</v>
      </c>
      <c r="AD66">
        <f t="shared" ref="AD66:AD129" si="24">COUNTIF(AB:AB,AC66)</f>
        <v>6</v>
      </c>
      <c r="AE66">
        <f t="shared" ref="AE66:AE129" si="25">SUMIF(AB:AB,AC66,AA:AA)</f>
        <v>287254</v>
      </c>
      <c r="AG66" t="s">
        <v>5</v>
      </c>
      <c r="AH66" t="s">
        <v>41</v>
      </c>
      <c r="AI66" t="s">
        <v>189</v>
      </c>
      <c r="AJ66">
        <f t="shared" ref="AJ66:AJ97" si="26">COUNTIF(AH:AH,AI66)</f>
        <v>3</v>
      </c>
      <c r="BF66" t="s">
        <v>41</v>
      </c>
      <c r="BG66" t="s">
        <v>5</v>
      </c>
      <c r="BH66">
        <v>5</v>
      </c>
      <c r="BI66" t="s">
        <v>496</v>
      </c>
      <c r="CG66" t="s">
        <v>10</v>
      </c>
      <c r="CH66" t="s">
        <v>84</v>
      </c>
      <c r="CI66">
        <v>22240</v>
      </c>
      <c r="CJ66" t="s">
        <v>496</v>
      </c>
    </row>
    <row r="67" spans="1:88" x14ac:dyDescent="0.25">
      <c r="A67" t="s">
        <v>75</v>
      </c>
      <c r="B67" t="s">
        <v>86</v>
      </c>
      <c r="C67" t="s">
        <v>85</v>
      </c>
      <c r="D67">
        <v>85387</v>
      </c>
      <c r="E67">
        <v>4</v>
      </c>
      <c r="F67" s="24" t="str">
        <f t="shared" ref="F67:F130" si="27">YEAR(C67)&amp;"-"&amp;MONTH(C67)</f>
        <v>2023-9</v>
      </c>
      <c r="O67" t="s">
        <v>8</v>
      </c>
      <c r="P67" t="s">
        <v>88</v>
      </c>
      <c r="Q67">
        <v>5</v>
      </c>
      <c r="AA67">
        <v>85387</v>
      </c>
      <c r="AB67" t="s">
        <v>115</v>
      </c>
      <c r="AC67" t="s">
        <v>137</v>
      </c>
      <c r="AD67">
        <f t="shared" si="24"/>
        <v>6</v>
      </c>
      <c r="AE67">
        <f t="shared" si="25"/>
        <v>431574</v>
      </c>
      <c r="AG67" t="s">
        <v>8</v>
      </c>
      <c r="AH67" t="s">
        <v>88</v>
      </c>
      <c r="AI67" t="s">
        <v>197</v>
      </c>
      <c r="AJ67">
        <f t="shared" si="26"/>
        <v>3</v>
      </c>
      <c r="BF67" t="s">
        <v>88</v>
      </c>
      <c r="BG67" t="s">
        <v>8</v>
      </c>
      <c r="BH67">
        <v>5</v>
      </c>
      <c r="BI67" t="s">
        <v>496</v>
      </c>
      <c r="CG67" t="s">
        <v>75</v>
      </c>
      <c r="CH67" t="s">
        <v>86</v>
      </c>
      <c r="CI67">
        <v>85387</v>
      </c>
      <c r="CJ67" t="s">
        <v>496</v>
      </c>
    </row>
    <row r="68" spans="1:88" x14ac:dyDescent="0.25">
      <c r="A68" t="s">
        <v>29</v>
      </c>
      <c r="B68" t="s">
        <v>87</v>
      </c>
      <c r="C68" t="s">
        <v>85</v>
      </c>
      <c r="D68">
        <v>13433</v>
      </c>
      <c r="E68">
        <v>3</v>
      </c>
      <c r="F68" s="24" t="str">
        <f t="shared" si="27"/>
        <v>2023-9</v>
      </c>
      <c r="O68" t="s">
        <v>21</v>
      </c>
      <c r="P68" t="s">
        <v>89</v>
      </c>
      <c r="Q68">
        <v>4</v>
      </c>
      <c r="AA68">
        <v>13433</v>
      </c>
      <c r="AB68" t="s">
        <v>62</v>
      </c>
      <c r="AC68" t="s">
        <v>159</v>
      </c>
      <c r="AD68">
        <f t="shared" si="24"/>
        <v>6</v>
      </c>
      <c r="AE68">
        <f t="shared" si="25"/>
        <v>372854</v>
      </c>
      <c r="AG68" t="s">
        <v>21</v>
      </c>
      <c r="AH68" t="s">
        <v>89</v>
      </c>
      <c r="AI68" t="s">
        <v>200</v>
      </c>
      <c r="AJ68">
        <f t="shared" si="26"/>
        <v>3</v>
      </c>
      <c r="BF68" t="s">
        <v>89</v>
      </c>
      <c r="BG68" t="s">
        <v>21</v>
      </c>
      <c r="BH68">
        <v>4</v>
      </c>
      <c r="BI68" t="s">
        <v>496</v>
      </c>
      <c r="CG68" t="s">
        <v>29</v>
      </c>
      <c r="CH68" t="s">
        <v>87</v>
      </c>
      <c r="CI68">
        <v>13433</v>
      </c>
      <c r="CJ68" t="s">
        <v>496</v>
      </c>
    </row>
    <row r="69" spans="1:88" x14ac:dyDescent="0.25">
      <c r="A69" t="s">
        <v>5</v>
      </c>
      <c r="B69" t="s">
        <v>41</v>
      </c>
      <c r="C69" t="s">
        <v>85</v>
      </c>
      <c r="D69">
        <v>51297</v>
      </c>
      <c r="E69">
        <v>5</v>
      </c>
      <c r="F69" s="24" t="str">
        <f t="shared" si="27"/>
        <v>2023-9</v>
      </c>
      <c r="O69" t="s">
        <v>53</v>
      </c>
      <c r="P69" t="s">
        <v>90</v>
      </c>
      <c r="Q69">
        <v>9</v>
      </c>
      <c r="AA69">
        <v>51297</v>
      </c>
      <c r="AB69" t="s">
        <v>129</v>
      </c>
      <c r="AC69" t="s">
        <v>163</v>
      </c>
      <c r="AD69">
        <f t="shared" si="24"/>
        <v>6</v>
      </c>
      <c r="AE69">
        <f t="shared" si="25"/>
        <v>293202</v>
      </c>
      <c r="AG69" t="s">
        <v>53</v>
      </c>
      <c r="AH69" t="s">
        <v>90</v>
      </c>
      <c r="AI69" t="s">
        <v>202</v>
      </c>
      <c r="AJ69">
        <f t="shared" si="26"/>
        <v>3</v>
      </c>
      <c r="BF69" t="s">
        <v>90</v>
      </c>
      <c r="BG69" t="s">
        <v>53</v>
      </c>
      <c r="BH69">
        <v>9</v>
      </c>
      <c r="BI69" t="s">
        <v>496</v>
      </c>
      <c r="CG69" t="s">
        <v>5</v>
      </c>
      <c r="CH69" t="s">
        <v>41</v>
      </c>
      <c r="CI69">
        <v>51297</v>
      </c>
      <c r="CJ69" t="s">
        <v>496</v>
      </c>
    </row>
    <row r="70" spans="1:88" x14ac:dyDescent="0.25">
      <c r="A70" t="s">
        <v>8</v>
      </c>
      <c r="B70" t="s">
        <v>88</v>
      </c>
      <c r="C70" t="s">
        <v>85</v>
      </c>
      <c r="D70">
        <v>85427</v>
      </c>
      <c r="E70">
        <v>5</v>
      </c>
      <c r="F70" s="24" t="str">
        <f t="shared" si="27"/>
        <v>2023-9</v>
      </c>
      <c r="O70" t="s">
        <v>5</v>
      </c>
      <c r="P70" t="s">
        <v>91</v>
      </c>
      <c r="Q70">
        <v>8</v>
      </c>
      <c r="AA70">
        <v>85427</v>
      </c>
      <c r="AB70" t="s">
        <v>130</v>
      </c>
      <c r="AC70" t="s">
        <v>164</v>
      </c>
      <c r="AD70">
        <f t="shared" si="24"/>
        <v>6</v>
      </c>
      <c r="AE70">
        <f t="shared" si="25"/>
        <v>238311</v>
      </c>
      <c r="AG70" t="s">
        <v>5</v>
      </c>
      <c r="AH70" t="s">
        <v>91</v>
      </c>
      <c r="AI70" t="s">
        <v>210</v>
      </c>
      <c r="AJ70">
        <f t="shared" si="26"/>
        <v>3</v>
      </c>
      <c r="BF70" t="s">
        <v>91</v>
      </c>
      <c r="BG70" t="s">
        <v>5</v>
      </c>
      <c r="BH70">
        <v>8</v>
      </c>
      <c r="BI70" t="s">
        <v>496</v>
      </c>
      <c r="CG70" t="s">
        <v>8</v>
      </c>
      <c r="CH70" t="s">
        <v>88</v>
      </c>
      <c r="CI70">
        <v>85427</v>
      </c>
      <c r="CJ70" t="s">
        <v>496</v>
      </c>
    </row>
    <row r="71" spans="1:88" x14ac:dyDescent="0.25">
      <c r="A71" t="s">
        <v>21</v>
      </c>
      <c r="B71" t="s">
        <v>89</v>
      </c>
      <c r="C71" t="s">
        <v>85</v>
      </c>
      <c r="D71">
        <v>54282</v>
      </c>
      <c r="E71">
        <v>4</v>
      </c>
      <c r="F71" s="24" t="str">
        <f t="shared" si="27"/>
        <v>2023-9</v>
      </c>
      <c r="O71" t="s">
        <v>55</v>
      </c>
      <c r="P71" t="s">
        <v>92</v>
      </c>
      <c r="Q71">
        <v>6</v>
      </c>
      <c r="AA71">
        <v>54282</v>
      </c>
      <c r="AB71" t="s">
        <v>134</v>
      </c>
      <c r="AC71" t="s">
        <v>172</v>
      </c>
      <c r="AD71">
        <f t="shared" si="24"/>
        <v>6</v>
      </c>
      <c r="AE71">
        <f t="shared" si="25"/>
        <v>379612</v>
      </c>
      <c r="AG71" t="s">
        <v>55</v>
      </c>
      <c r="AH71" t="s">
        <v>92</v>
      </c>
      <c r="AI71" t="s">
        <v>229</v>
      </c>
      <c r="AJ71">
        <f t="shared" si="26"/>
        <v>3</v>
      </c>
      <c r="BF71" t="s">
        <v>92</v>
      </c>
      <c r="BG71" t="s">
        <v>55</v>
      </c>
      <c r="BH71">
        <v>6</v>
      </c>
      <c r="BI71" t="s">
        <v>496</v>
      </c>
      <c r="CG71" t="s">
        <v>21</v>
      </c>
      <c r="CH71" t="s">
        <v>89</v>
      </c>
      <c r="CI71">
        <v>54282</v>
      </c>
      <c r="CJ71" t="s">
        <v>496</v>
      </c>
    </row>
    <row r="72" spans="1:88" x14ac:dyDescent="0.25">
      <c r="A72" t="s">
        <v>53</v>
      </c>
      <c r="B72" t="s">
        <v>90</v>
      </c>
      <c r="C72" t="s">
        <v>85</v>
      </c>
      <c r="D72">
        <v>26798</v>
      </c>
      <c r="E72">
        <v>9</v>
      </c>
      <c r="F72" s="24" t="str">
        <f t="shared" si="27"/>
        <v>2023-9</v>
      </c>
      <c r="O72" t="s">
        <v>37</v>
      </c>
      <c r="P72" t="s">
        <v>79</v>
      </c>
      <c r="Q72">
        <v>9</v>
      </c>
      <c r="AA72">
        <v>26798</v>
      </c>
      <c r="AB72" t="s">
        <v>15</v>
      </c>
      <c r="AC72" t="s">
        <v>192</v>
      </c>
      <c r="AD72">
        <f t="shared" si="24"/>
        <v>6</v>
      </c>
      <c r="AE72">
        <f t="shared" si="25"/>
        <v>369094</v>
      </c>
      <c r="AG72" t="s">
        <v>37</v>
      </c>
      <c r="AH72" t="s">
        <v>79</v>
      </c>
      <c r="AI72" t="s">
        <v>244</v>
      </c>
      <c r="AJ72">
        <f t="shared" si="26"/>
        <v>3</v>
      </c>
      <c r="BF72" t="s">
        <v>79</v>
      </c>
      <c r="BG72" t="s">
        <v>37</v>
      </c>
      <c r="BH72">
        <v>9</v>
      </c>
      <c r="BI72" t="s">
        <v>496</v>
      </c>
      <c r="CG72" t="s">
        <v>53</v>
      </c>
      <c r="CH72" t="s">
        <v>90</v>
      </c>
      <c r="CI72">
        <v>26798</v>
      </c>
      <c r="CJ72" t="s">
        <v>496</v>
      </c>
    </row>
    <row r="73" spans="1:88" x14ac:dyDescent="0.25">
      <c r="A73" t="s">
        <v>5</v>
      </c>
      <c r="B73" t="s">
        <v>91</v>
      </c>
      <c r="C73" t="s">
        <v>85</v>
      </c>
      <c r="D73">
        <v>66535</v>
      </c>
      <c r="E73">
        <v>8</v>
      </c>
      <c r="F73" s="24" t="str">
        <f t="shared" si="27"/>
        <v>2023-9</v>
      </c>
      <c r="O73" t="s">
        <v>14</v>
      </c>
      <c r="P73" t="s">
        <v>94</v>
      </c>
      <c r="Q73">
        <v>8</v>
      </c>
      <c r="AA73">
        <v>66535</v>
      </c>
      <c r="AB73" t="s">
        <v>144</v>
      </c>
      <c r="AC73" t="s">
        <v>194</v>
      </c>
      <c r="AD73">
        <f t="shared" si="24"/>
        <v>6</v>
      </c>
      <c r="AE73">
        <f t="shared" si="25"/>
        <v>389841</v>
      </c>
      <c r="AG73" t="s">
        <v>14</v>
      </c>
      <c r="AH73" t="s">
        <v>94</v>
      </c>
      <c r="AI73" t="s">
        <v>249</v>
      </c>
      <c r="AJ73">
        <f t="shared" si="26"/>
        <v>3</v>
      </c>
      <c r="BF73" t="s">
        <v>94</v>
      </c>
      <c r="BG73" t="s">
        <v>14</v>
      </c>
      <c r="BH73">
        <v>8</v>
      </c>
      <c r="BI73" t="s">
        <v>496</v>
      </c>
      <c r="CG73" t="s">
        <v>5</v>
      </c>
      <c r="CH73" t="s">
        <v>91</v>
      </c>
      <c r="CI73">
        <v>66535</v>
      </c>
      <c r="CJ73" t="s">
        <v>496</v>
      </c>
    </row>
    <row r="74" spans="1:88" x14ac:dyDescent="0.25">
      <c r="A74" t="s">
        <v>55</v>
      </c>
      <c r="B74" t="s">
        <v>92</v>
      </c>
      <c r="C74" t="s">
        <v>93</v>
      </c>
      <c r="D74">
        <v>29035</v>
      </c>
      <c r="E74">
        <v>6</v>
      </c>
      <c r="F74" s="24" t="str">
        <f t="shared" si="27"/>
        <v>2023-9</v>
      </c>
      <c r="O74" t="s">
        <v>75</v>
      </c>
      <c r="P74" t="s">
        <v>95</v>
      </c>
      <c r="Q74">
        <v>9</v>
      </c>
      <c r="AA74">
        <v>29035</v>
      </c>
      <c r="AB74" t="s">
        <v>149</v>
      </c>
      <c r="AC74" t="s">
        <v>206</v>
      </c>
      <c r="AD74">
        <f t="shared" si="24"/>
        <v>6</v>
      </c>
      <c r="AE74">
        <f t="shared" si="25"/>
        <v>307352</v>
      </c>
      <c r="AG74" t="s">
        <v>75</v>
      </c>
      <c r="AH74" t="s">
        <v>95</v>
      </c>
      <c r="AI74" t="s">
        <v>251</v>
      </c>
      <c r="AJ74">
        <f t="shared" si="26"/>
        <v>3</v>
      </c>
      <c r="BF74" t="s">
        <v>95</v>
      </c>
      <c r="BG74" t="s">
        <v>75</v>
      </c>
      <c r="BH74">
        <v>9</v>
      </c>
      <c r="BI74" t="s">
        <v>496</v>
      </c>
      <c r="CG74" t="s">
        <v>55</v>
      </c>
      <c r="CH74" t="s">
        <v>92</v>
      </c>
      <c r="CI74">
        <v>29035</v>
      </c>
      <c r="CJ74" t="s">
        <v>496</v>
      </c>
    </row>
    <row r="75" spans="1:88" x14ac:dyDescent="0.25">
      <c r="A75" t="s">
        <v>37</v>
      </c>
      <c r="B75" t="s">
        <v>79</v>
      </c>
      <c r="C75" t="s">
        <v>93</v>
      </c>
      <c r="D75">
        <v>73927</v>
      </c>
      <c r="E75">
        <v>9</v>
      </c>
      <c r="F75" s="24" t="str">
        <f t="shared" si="27"/>
        <v>2023-9</v>
      </c>
      <c r="O75" t="s">
        <v>37</v>
      </c>
      <c r="P75" t="s">
        <v>96</v>
      </c>
      <c r="Q75">
        <v>8</v>
      </c>
      <c r="AA75">
        <v>73927</v>
      </c>
      <c r="AB75" t="s">
        <v>31</v>
      </c>
      <c r="AC75" t="s">
        <v>214</v>
      </c>
      <c r="AD75">
        <f t="shared" si="24"/>
        <v>6</v>
      </c>
      <c r="AE75">
        <f t="shared" si="25"/>
        <v>406793</v>
      </c>
      <c r="AG75" t="s">
        <v>37</v>
      </c>
      <c r="AH75" t="s">
        <v>96</v>
      </c>
      <c r="AI75" t="s">
        <v>253</v>
      </c>
      <c r="AJ75">
        <f t="shared" si="26"/>
        <v>3</v>
      </c>
      <c r="BF75" t="s">
        <v>96</v>
      </c>
      <c r="BG75" t="s">
        <v>37</v>
      </c>
      <c r="BH75">
        <v>8</v>
      </c>
      <c r="BI75" t="s">
        <v>496</v>
      </c>
      <c r="CG75" t="s">
        <v>37</v>
      </c>
      <c r="CH75" t="s">
        <v>79</v>
      </c>
      <c r="CI75">
        <v>73927</v>
      </c>
      <c r="CJ75" t="s">
        <v>496</v>
      </c>
    </row>
    <row r="76" spans="1:88" x14ac:dyDescent="0.25">
      <c r="A76" t="s">
        <v>14</v>
      </c>
      <c r="B76" t="s">
        <v>94</v>
      </c>
      <c r="C76" t="s">
        <v>93</v>
      </c>
      <c r="D76">
        <v>15324</v>
      </c>
      <c r="E76">
        <v>8</v>
      </c>
      <c r="F76" s="24" t="str">
        <f t="shared" si="27"/>
        <v>2023-9</v>
      </c>
      <c r="O76" t="s">
        <v>35</v>
      </c>
      <c r="P76" t="s">
        <v>98</v>
      </c>
      <c r="Q76">
        <v>8</v>
      </c>
      <c r="AA76">
        <v>15324</v>
      </c>
      <c r="AB76" t="s">
        <v>52</v>
      </c>
      <c r="AC76" t="s">
        <v>237</v>
      </c>
      <c r="AD76">
        <f t="shared" si="24"/>
        <v>6</v>
      </c>
      <c r="AE76">
        <f t="shared" si="25"/>
        <v>231489</v>
      </c>
      <c r="AG76" t="s">
        <v>35</v>
      </c>
      <c r="AH76" t="s">
        <v>98</v>
      </c>
      <c r="AI76" t="s">
        <v>263</v>
      </c>
      <c r="AJ76">
        <f t="shared" si="26"/>
        <v>3</v>
      </c>
      <c r="BF76" t="s">
        <v>98</v>
      </c>
      <c r="BG76" t="s">
        <v>35</v>
      </c>
      <c r="BH76">
        <v>8</v>
      </c>
      <c r="BI76" t="s">
        <v>496</v>
      </c>
      <c r="CG76" t="s">
        <v>14</v>
      </c>
      <c r="CH76" t="s">
        <v>94</v>
      </c>
      <c r="CI76">
        <v>15324</v>
      </c>
      <c r="CJ76" t="s">
        <v>496</v>
      </c>
    </row>
    <row r="77" spans="1:88" x14ac:dyDescent="0.25">
      <c r="A77" t="s">
        <v>75</v>
      </c>
      <c r="B77" t="s">
        <v>95</v>
      </c>
      <c r="C77" t="s">
        <v>93</v>
      </c>
      <c r="D77">
        <v>20057</v>
      </c>
      <c r="E77">
        <v>9</v>
      </c>
      <c r="F77" s="24" t="str">
        <f t="shared" si="27"/>
        <v>2023-9</v>
      </c>
      <c r="O77" t="s">
        <v>75</v>
      </c>
      <c r="P77" t="s">
        <v>100</v>
      </c>
      <c r="Q77">
        <v>6</v>
      </c>
      <c r="AA77">
        <v>20057</v>
      </c>
      <c r="AB77" t="s">
        <v>82</v>
      </c>
      <c r="AC77" t="s">
        <v>242</v>
      </c>
      <c r="AD77">
        <f t="shared" si="24"/>
        <v>6</v>
      </c>
      <c r="AE77">
        <f t="shared" si="25"/>
        <v>340846</v>
      </c>
      <c r="AG77" t="s">
        <v>75</v>
      </c>
      <c r="AH77" t="s">
        <v>100</v>
      </c>
      <c r="AI77" t="s">
        <v>268</v>
      </c>
      <c r="AJ77">
        <f t="shared" si="26"/>
        <v>3</v>
      </c>
      <c r="BF77" t="s">
        <v>100</v>
      </c>
      <c r="BG77" t="s">
        <v>75</v>
      </c>
      <c r="BH77">
        <v>6</v>
      </c>
      <c r="BI77" t="s">
        <v>496</v>
      </c>
      <c r="CG77" t="s">
        <v>75</v>
      </c>
      <c r="CH77" t="s">
        <v>95</v>
      </c>
      <c r="CI77">
        <v>20057</v>
      </c>
      <c r="CJ77" t="s">
        <v>496</v>
      </c>
    </row>
    <row r="78" spans="1:88" x14ac:dyDescent="0.25">
      <c r="A78" t="s">
        <v>37</v>
      </c>
      <c r="B78" t="s">
        <v>96</v>
      </c>
      <c r="C78" t="s">
        <v>97</v>
      </c>
      <c r="D78">
        <v>33647</v>
      </c>
      <c r="E78">
        <v>8</v>
      </c>
      <c r="F78" s="24" t="str">
        <f t="shared" si="27"/>
        <v>2023-9</v>
      </c>
      <c r="O78" t="s">
        <v>37</v>
      </c>
      <c r="P78" t="s">
        <v>18</v>
      </c>
      <c r="Q78">
        <v>3</v>
      </c>
      <c r="AA78">
        <v>33647</v>
      </c>
      <c r="AB78" t="s">
        <v>92</v>
      </c>
      <c r="AC78" t="s">
        <v>321</v>
      </c>
      <c r="AD78">
        <f t="shared" si="24"/>
        <v>6</v>
      </c>
      <c r="AE78">
        <f t="shared" si="25"/>
        <v>224674</v>
      </c>
      <c r="AG78" t="s">
        <v>37</v>
      </c>
      <c r="AH78" t="s">
        <v>18</v>
      </c>
      <c r="AI78" t="s">
        <v>280</v>
      </c>
      <c r="AJ78">
        <f t="shared" si="26"/>
        <v>3</v>
      </c>
      <c r="BF78" t="s">
        <v>18</v>
      </c>
      <c r="BG78" t="s">
        <v>37</v>
      </c>
      <c r="BH78">
        <v>3</v>
      </c>
      <c r="BI78" t="s">
        <v>496</v>
      </c>
      <c r="CG78" t="s">
        <v>37</v>
      </c>
      <c r="CH78" t="s">
        <v>96</v>
      </c>
      <c r="CI78">
        <v>33647</v>
      </c>
      <c r="CJ78" t="s">
        <v>496</v>
      </c>
    </row>
    <row r="79" spans="1:88" x14ac:dyDescent="0.25">
      <c r="A79" t="s">
        <v>35</v>
      </c>
      <c r="B79" t="s">
        <v>98</v>
      </c>
      <c r="C79" t="s">
        <v>99</v>
      </c>
      <c r="D79">
        <v>41004</v>
      </c>
      <c r="E79">
        <v>8</v>
      </c>
      <c r="F79" s="24" t="str">
        <f t="shared" si="27"/>
        <v>2023-9</v>
      </c>
      <c r="O79" t="s">
        <v>53</v>
      </c>
      <c r="P79" t="s">
        <v>101</v>
      </c>
      <c r="Q79">
        <v>10</v>
      </c>
      <c r="AA79">
        <v>41004</v>
      </c>
      <c r="AB79" t="s">
        <v>176</v>
      </c>
      <c r="AC79" t="s">
        <v>347</v>
      </c>
      <c r="AD79">
        <f t="shared" si="24"/>
        <v>6</v>
      </c>
      <c r="AE79">
        <f t="shared" si="25"/>
        <v>391165</v>
      </c>
      <c r="AG79" t="s">
        <v>53</v>
      </c>
      <c r="AH79" t="s">
        <v>101</v>
      </c>
      <c r="AI79" t="s">
        <v>293</v>
      </c>
      <c r="AJ79">
        <f t="shared" si="26"/>
        <v>3</v>
      </c>
      <c r="BF79" t="s">
        <v>101</v>
      </c>
      <c r="BG79" t="s">
        <v>53</v>
      </c>
      <c r="BH79">
        <v>10</v>
      </c>
      <c r="BI79" t="s">
        <v>496</v>
      </c>
      <c r="CG79" t="s">
        <v>35</v>
      </c>
      <c r="CH79" t="s">
        <v>98</v>
      </c>
      <c r="CI79">
        <v>41004</v>
      </c>
      <c r="CJ79" t="s">
        <v>496</v>
      </c>
    </row>
    <row r="80" spans="1:88" x14ac:dyDescent="0.25">
      <c r="A80" t="s">
        <v>75</v>
      </c>
      <c r="B80" t="s">
        <v>100</v>
      </c>
      <c r="C80" t="s">
        <v>99</v>
      </c>
      <c r="D80">
        <v>27368</v>
      </c>
      <c r="E80">
        <v>6</v>
      </c>
      <c r="F80" s="24" t="str">
        <f t="shared" si="27"/>
        <v>2023-9</v>
      </c>
      <c r="O80" t="s">
        <v>10</v>
      </c>
      <c r="P80" t="s">
        <v>102</v>
      </c>
      <c r="Q80">
        <v>8</v>
      </c>
      <c r="AA80">
        <v>27368</v>
      </c>
      <c r="AB80" t="s">
        <v>24</v>
      </c>
      <c r="AC80" t="s">
        <v>24</v>
      </c>
      <c r="AD80">
        <f t="shared" si="24"/>
        <v>5</v>
      </c>
      <c r="AE80">
        <f t="shared" si="25"/>
        <v>283670</v>
      </c>
      <c r="AG80" t="s">
        <v>10</v>
      </c>
      <c r="AH80" t="s">
        <v>102</v>
      </c>
      <c r="AI80" t="s">
        <v>300</v>
      </c>
      <c r="AJ80">
        <f t="shared" si="26"/>
        <v>3</v>
      </c>
      <c r="BF80" t="s">
        <v>102</v>
      </c>
      <c r="BG80" t="s">
        <v>10</v>
      </c>
      <c r="BH80">
        <v>8</v>
      </c>
      <c r="BI80" t="s">
        <v>496</v>
      </c>
      <c r="CG80" t="s">
        <v>75</v>
      </c>
      <c r="CH80" t="s">
        <v>100</v>
      </c>
      <c r="CI80">
        <v>27368</v>
      </c>
      <c r="CJ80" t="s">
        <v>496</v>
      </c>
    </row>
    <row r="81" spans="1:88" x14ac:dyDescent="0.25">
      <c r="A81" t="s">
        <v>37</v>
      </c>
      <c r="B81" t="s">
        <v>18</v>
      </c>
      <c r="C81" t="s">
        <v>99</v>
      </c>
      <c r="D81">
        <v>77098</v>
      </c>
      <c r="E81">
        <v>3</v>
      </c>
      <c r="F81" s="24" t="str">
        <f t="shared" si="27"/>
        <v>2023-9</v>
      </c>
      <c r="O81" t="s">
        <v>35</v>
      </c>
      <c r="P81" t="s">
        <v>104</v>
      </c>
      <c r="Q81">
        <v>6</v>
      </c>
      <c r="AA81">
        <v>77098</v>
      </c>
      <c r="AB81" t="s">
        <v>27</v>
      </c>
      <c r="AC81" t="s">
        <v>27</v>
      </c>
      <c r="AD81">
        <f t="shared" si="24"/>
        <v>5</v>
      </c>
      <c r="AE81">
        <f t="shared" si="25"/>
        <v>300304</v>
      </c>
      <c r="AG81" t="s">
        <v>35</v>
      </c>
      <c r="AH81" t="s">
        <v>104</v>
      </c>
      <c r="AI81" t="s">
        <v>308</v>
      </c>
      <c r="AJ81">
        <f t="shared" si="26"/>
        <v>3</v>
      </c>
      <c r="BF81" t="s">
        <v>104</v>
      </c>
      <c r="BG81" t="s">
        <v>35</v>
      </c>
      <c r="BH81">
        <v>6</v>
      </c>
      <c r="BI81" t="s">
        <v>496</v>
      </c>
      <c r="CG81" t="s">
        <v>37</v>
      </c>
      <c r="CH81" t="s">
        <v>18</v>
      </c>
      <c r="CI81">
        <v>77098</v>
      </c>
      <c r="CJ81" t="s">
        <v>496</v>
      </c>
    </row>
    <row r="82" spans="1:88" x14ac:dyDescent="0.25">
      <c r="A82" t="s">
        <v>53</v>
      </c>
      <c r="B82" t="s">
        <v>101</v>
      </c>
      <c r="C82" t="s">
        <v>99</v>
      </c>
      <c r="D82">
        <v>35826</v>
      </c>
      <c r="E82">
        <v>10</v>
      </c>
      <c r="F82" s="24" t="str">
        <f t="shared" si="27"/>
        <v>2023-9</v>
      </c>
      <c r="O82" t="s">
        <v>55</v>
      </c>
      <c r="P82" t="s">
        <v>105</v>
      </c>
      <c r="Q82">
        <v>9</v>
      </c>
      <c r="AA82">
        <v>35826</v>
      </c>
      <c r="AB82" t="s">
        <v>31</v>
      </c>
      <c r="AC82" t="s">
        <v>33</v>
      </c>
      <c r="AD82">
        <f t="shared" si="24"/>
        <v>5</v>
      </c>
      <c r="AE82">
        <f t="shared" si="25"/>
        <v>254344</v>
      </c>
      <c r="AG82" t="s">
        <v>55</v>
      </c>
      <c r="AH82" t="s">
        <v>105</v>
      </c>
      <c r="AI82" t="s">
        <v>321</v>
      </c>
      <c r="AJ82">
        <f t="shared" si="26"/>
        <v>3</v>
      </c>
      <c r="BF82" t="s">
        <v>105</v>
      </c>
      <c r="BG82" t="s">
        <v>55</v>
      </c>
      <c r="BH82">
        <v>9</v>
      </c>
      <c r="BI82" t="s">
        <v>496</v>
      </c>
      <c r="CG82" t="s">
        <v>53</v>
      </c>
      <c r="CH82" t="s">
        <v>101</v>
      </c>
      <c r="CI82">
        <v>35826</v>
      </c>
      <c r="CJ82" t="s">
        <v>496</v>
      </c>
    </row>
    <row r="83" spans="1:88" x14ac:dyDescent="0.25">
      <c r="A83" t="s">
        <v>10</v>
      </c>
      <c r="B83" t="s">
        <v>102</v>
      </c>
      <c r="C83" t="s">
        <v>103</v>
      </c>
      <c r="D83">
        <v>18750</v>
      </c>
      <c r="E83">
        <v>8</v>
      </c>
      <c r="F83" s="24" t="str">
        <f t="shared" si="27"/>
        <v>2023-9</v>
      </c>
      <c r="O83" t="s">
        <v>53</v>
      </c>
      <c r="P83" t="s">
        <v>106</v>
      </c>
      <c r="Q83">
        <v>9</v>
      </c>
      <c r="AA83">
        <v>18750</v>
      </c>
      <c r="AB83" t="s">
        <v>46</v>
      </c>
      <c r="AC83" t="s">
        <v>48</v>
      </c>
      <c r="AD83">
        <f t="shared" si="24"/>
        <v>5</v>
      </c>
      <c r="AE83">
        <f t="shared" si="25"/>
        <v>267169</v>
      </c>
      <c r="AG83" t="s">
        <v>53</v>
      </c>
      <c r="AH83" t="s">
        <v>106</v>
      </c>
      <c r="AI83" t="s">
        <v>337</v>
      </c>
      <c r="AJ83">
        <f t="shared" si="26"/>
        <v>3</v>
      </c>
      <c r="BF83" t="s">
        <v>106</v>
      </c>
      <c r="BG83" t="s">
        <v>53</v>
      </c>
      <c r="BH83">
        <v>9</v>
      </c>
      <c r="BI83" t="s">
        <v>496</v>
      </c>
      <c r="CG83" t="s">
        <v>10</v>
      </c>
      <c r="CH83" t="s">
        <v>102</v>
      </c>
      <c r="CI83">
        <v>18750</v>
      </c>
      <c r="CJ83" t="s">
        <v>496</v>
      </c>
    </row>
    <row r="84" spans="1:88" x14ac:dyDescent="0.25">
      <c r="A84" t="s">
        <v>35</v>
      </c>
      <c r="B84" t="s">
        <v>104</v>
      </c>
      <c r="C84" t="s">
        <v>103</v>
      </c>
      <c r="D84">
        <v>58929</v>
      </c>
      <c r="E84">
        <v>6</v>
      </c>
      <c r="F84" s="24" t="str">
        <f t="shared" si="27"/>
        <v>2023-9</v>
      </c>
      <c r="O84" t="s">
        <v>10</v>
      </c>
      <c r="P84" t="s">
        <v>81</v>
      </c>
      <c r="Q84">
        <v>7</v>
      </c>
      <c r="AA84">
        <v>58929</v>
      </c>
      <c r="AB84" t="s">
        <v>48</v>
      </c>
      <c r="AC84" t="s">
        <v>49</v>
      </c>
      <c r="AD84">
        <f t="shared" si="24"/>
        <v>5</v>
      </c>
      <c r="AE84">
        <f t="shared" si="25"/>
        <v>236823</v>
      </c>
      <c r="AG84" t="s">
        <v>10</v>
      </c>
      <c r="AH84" t="s">
        <v>81</v>
      </c>
      <c r="AI84" t="s">
        <v>393</v>
      </c>
      <c r="AJ84">
        <f t="shared" si="26"/>
        <v>3</v>
      </c>
      <c r="BF84" t="s">
        <v>81</v>
      </c>
      <c r="BG84" t="s">
        <v>10</v>
      </c>
      <c r="BH84">
        <v>7</v>
      </c>
      <c r="BI84" t="s">
        <v>497</v>
      </c>
      <c r="CG84" t="s">
        <v>35</v>
      </c>
      <c r="CH84" t="s">
        <v>104</v>
      </c>
      <c r="CI84">
        <v>58929</v>
      </c>
      <c r="CJ84" t="s">
        <v>496</v>
      </c>
    </row>
    <row r="85" spans="1:88" x14ac:dyDescent="0.25">
      <c r="A85" t="s">
        <v>55</v>
      </c>
      <c r="B85" t="s">
        <v>105</v>
      </c>
      <c r="C85" t="s">
        <v>103</v>
      </c>
      <c r="D85">
        <v>97687</v>
      </c>
      <c r="E85">
        <v>9</v>
      </c>
      <c r="F85" s="24" t="str">
        <f t="shared" si="27"/>
        <v>2023-9</v>
      </c>
      <c r="O85" t="s">
        <v>21</v>
      </c>
      <c r="P85" t="s">
        <v>108</v>
      </c>
      <c r="Q85">
        <v>7</v>
      </c>
      <c r="AA85">
        <v>97687</v>
      </c>
      <c r="AB85" t="s">
        <v>56</v>
      </c>
      <c r="AC85" t="s">
        <v>61</v>
      </c>
      <c r="AD85">
        <f t="shared" si="24"/>
        <v>5</v>
      </c>
      <c r="AE85">
        <f t="shared" si="25"/>
        <v>286622</v>
      </c>
      <c r="AG85" t="s">
        <v>21</v>
      </c>
      <c r="AH85" t="s">
        <v>108</v>
      </c>
      <c r="AI85" t="s">
        <v>6</v>
      </c>
      <c r="AJ85">
        <f t="shared" si="26"/>
        <v>4</v>
      </c>
      <c r="BF85" t="s">
        <v>108</v>
      </c>
      <c r="BG85" t="s">
        <v>21</v>
      </c>
      <c r="BH85">
        <v>7</v>
      </c>
      <c r="BI85" t="s">
        <v>497</v>
      </c>
      <c r="CG85" t="s">
        <v>55</v>
      </c>
      <c r="CH85" t="s">
        <v>105</v>
      </c>
      <c r="CI85">
        <v>97687</v>
      </c>
      <c r="CJ85" t="s">
        <v>496</v>
      </c>
    </row>
    <row r="86" spans="1:88" x14ac:dyDescent="0.25">
      <c r="A86" t="s">
        <v>53</v>
      </c>
      <c r="B86" t="s">
        <v>106</v>
      </c>
      <c r="C86" t="s">
        <v>103</v>
      </c>
      <c r="D86">
        <v>86002</v>
      </c>
      <c r="E86">
        <v>9</v>
      </c>
      <c r="F86" s="24" t="str">
        <f t="shared" si="27"/>
        <v>2023-9</v>
      </c>
      <c r="O86" t="s">
        <v>75</v>
      </c>
      <c r="P86" t="s">
        <v>88</v>
      </c>
      <c r="Q86">
        <v>7</v>
      </c>
      <c r="AA86">
        <v>86002</v>
      </c>
      <c r="AB86" t="s">
        <v>39</v>
      </c>
      <c r="AC86" t="s">
        <v>65</v>
      </c>
      <c r="AD86">
        <f t="shared" si="24"/>
        <v>5</v>
      </c>
      <c r="AE86">
        <f t="shared" si="25"/>
        <v>345856</v>
      </c>
      <c r="AG86" t="s">
        <v>75</v>
      </c>
      <c r="AH86" t="s">
        <v>88</v>
      </c>
      <c r="AI86" t="s">
        <v>15</v>
      </c>
      <c r="AJ86">
        <f t="shared" si="26"/>
        <v>4</v>
      </c>
      <c r="BF86" t="s">
        <v>88</v>
      </c>
      <c r="BG86" t="s">
        <v>75</v>
      </c>
      <c r="BH86">
        <v>7</v>
      </c>
      <c r="BI86" t="s">
        <v>497</v>
      </c>
      <c r="CG86" t="s">
        <v>53</v>
      </c>
      <c r="CH86" t="s">
        <v>106</v>
      </c>
      <c r="CI86">
        <v>86002</v>
      </c>
      <c r="CJ86" t="s">
        <v>496</v>
      </c>
    </row>
    <row r="87" spans="1:88" x14ac:dyDescent="0.25">
      <c r="A87" t="s">
        <v>10</v>
      </c>
      <c r="B87" t="s">
        <v>81</v>
      </c>
      <c r="C87" t="s">
        <v>107</v>
      </c>
      <c r="D87">
        <v>57728</v>
      </c>
      <c r="E87">
        <v>7</v>
      </c>
      <c r="F87" s="24" t="str">
        <f t="shared" si="27"/>
        <v>2023-10</v>
      </c>
      <c r="O87" t="s">
        <v>35</v>
      </c>
      <c r="P87" t="s">
        <v>109</v>
      </c>
      <c r="Q87">
        <v>7</v>
      </c>
      <c r="AA87">
        <v>57728</v>
      </c>
      <c r="AB87" t="s">
        <v>65</v>
      </c>
      <c r="AC87" t="s">
        <v>71</v>
      </c>
      <c r="AD87">
        <f t="shared" si="24"/>
        <v>5</v>
      </c>
      <c r="AE87">
        <f t="shared" si="25"/>
        <v>301470</v>
      </c>
      <c r="AG87" t="s">
        <v>35</v>
      </c>
      <c r="AH87" t="s">
        <v>109</v>
      </c>
      <c r="AI87" t="s">
        <v>24</v>
      </c>
      <c r="AJ87">
        <f t="shared" si="26"/>
        <v>4</v>
      </c>
      <c r="BF87" t="s">
        <v>109</v>
      </c>
      <c r="BG87" t="s">
        <v>35</v>
      </c>
      <c r="BH87">
        <v>7</v>
      </c>
      <c r="BI87" t="s">
        <v>497</v>
      </c>
      <c r="CG87" t="s">
        <v>10</v>
      </c>
      <c r="CH87" t="s">
        <v>81</v>
      </c>
      <c r="CI87">
        <v>57728</v>
      </c>
      <c r="CJ87" t="s">
        <v>497</v>
      </c>
    </row>
    <row r="88" spans="1:88" x14ac:dyDescent="0.25">
      <c r="A88" t="s">
        <v>21</v>
      </c>
      <c r="B88" t="s">
        <v>108</v>
      </c>
      <c r="C88" t="s">
        <v>107</v>
      </c>
      <c r="D88">
        <v>25476</v>
      </c>
      <c r="E88">
        <v>7</v>
      </c>
      <c r="F88" s="24" t="str">
        <f t="shared" si="27"/>
        <v>2023-10</v>
      </c>
      <c r="O88" t="s">
        <v>16</v>
      </c>
      <c r="P88" t="s">
        <v>110</v>
      </c>
      <c r="Q88">
        <v>9</v>
      </c>
      <c r="AA88">
        <v>25476</v>
      </c>
      <c r="AB88" t="s">
        <v>76</v>
      </c>
      <c r="AC88" t="s">
        <v>86</v>
      </c>
      <c r="AD88">
        <f t="shared" si="24"/>
        <v>5</v>
      </c>
      <c r="AE88">
        <f t="shared" si="25"/>
        <v>256784</v>
      </c>
      <c r="AG88" t="s">
        <v>16</v>
      </c>
      <c r="AH88" t="s">
        <v>110</v>
      </c>
      <c r="AI88" t="s">
        <v>26</v>
      </c>
      <c r="AJ88">
        <f t="shared" si="26"/>
        <v>4</v>
      </c>
      <c r="BF88" t="s">
        <v>110</v>
      </c>
      <c r="BG88" t="s">
        <v>16</v>
      </c>
      <c r="BH88">
        <v>9</v>
      </c>
      <c r="BI88" t="s">
        <v>497</v>
      </c>
      <c r="CG88" t="s">
        <v>21</v>
      </c>
      <c r="CH88" t="s">
        <v>108</v>
      </c>
      <c r="CI88">
        <v>25476</v>
      </c>
      <c r="CJ88" t="s">
        <v>497</v>
      </c>
    </row>
    <row r="89" spans="1:88" x14ac:dyDescent="0.25">
      <c r="A89" t="s">
        <v>75</v>
      </c>
      <c r="B89" t="s">
        <v>88</v>
      </c>
      <c r="C89" t="s">
        <v>107</v>
      </c>
      <c r="D89">
        <v>40566</v>
      </c>
      <c r="E89">
        <v>7</v>
      </c>
      <c r="F89" s="24" t="str">
        <f t="shared" si="27"/>
        <v>2023-10</v>
      </c>
      <c r="O89" t="s">
        <v>14</v>
      </c>
      <c r="P89" t="s">
        <v>111</v>
      </c>
      <c r="Q89">
        <v>5</v>
      </c>
      <c r="AA89">
        <v>40566</v>
      </c>
      <c r="AB89" t="s">
        <v>95</v>
      </c>
      <c r="AC89" t="s">
        <v>112</v>
      </c>
      <c r="AD89">
        <f t="shared" si="24"/>
        <v>5</v>
      </c>
      <c r="AE89">
        <f t="shared" si="25"/>
        <v>294300</v>
      </c>
      <c r="AG89" t="s">
        <v>14</v>
      </c>
      <c r="AH89" t="s">
        <v>111</v>
      </c>
      <c r="AI89" t="s">
        <v>27</v>
      </c>
      <c r="AJ89">
        <f t="shared" si="26"/>
        <v>4</v>
      </c>
      <c r="BF89" t="s">
        <v>111</v>
      </c>
      <c r="BG89" t="s">
        <v>14</v>
      </c>
      <c r="BH89">
        <v>5</v>
      </c>
      <c r="BI89" t="s">
        <v>497</v>
      </c>
      <c r="CG89" t="s">
        <v>75</v>
      </c>
      <c r="CH89" t="s">
        <v>88</v>
      </c>
      <c r="CI89">
        <v>40566</v>
      </c>
      <c r="CJ89" t="s">
        <v>497</v>
      </c>
    </row>
    <row r="90" spans="1:88" x14ac:dyDescent="0.25">
      <c r="A90" t="s">
        <v>35</v>
      </c>
      <c r="B90" t="s">
        <v>109</v>
      </c>
      <c r="C90" t="s">
        <v>107</v>
      </c>
      <c r="D90">
        <v>10314</v>
      </c>
      <c r="E90">
        <v>7</v>
      </c>
      <c r="F90" s="24" t="str">
        <f t="shared" si="27"/>
        <v>2023-10</v>
      </c>
      <c r="O90" t="s">
        <v>53</v>
      </c>
      <c r="P90" t="s">
        <v>112</v>
      </c>
      <c r="Q90">
        <v>10</v>
      </c>
      <c r="AA90">
        <v>10314</v>
      </c>
      <c r="AB90" t="s">
        <v>98</v>
      </c>
      <c r="AC90" t="s">
        <v>115</v>
      </c>
      <c r="AD90">
        <f t="shared" si="24"/>
        <v>5</v>
      </c>
      <c r="AE90">
        <f t="shared" si="25"/>
        <v>277149</v>
      </c>
      <c r="AG90" t="s">
        <v>53</v>
      </c>
      <c r="AH90" t="s">
        <v>112</v>
      </c>
      <c r="AI90" t="s">
        <v>33</v>
      </c>
      <c r="AJ90">
        <f t="shared" si="26"/>
        <v>4</v>
      </c>
      <c r="BF90" t="s">
        <v>112</v>
      </c>
      <c r="BG90" t="s">
        <v>53</v>
      </c>
      <c r="BH90">
        <v>10</v>
      </c>
      <c r="BI90" t="s">
        <v>497</v>
      </c>
      <c r="CG90" t="s">
        <v>35</v>
      </c>
      <c r="CH90" t="s">
        <v>109</v>
      </c>
      <c r="CI90">
        <v>10314</v>
      </c>
      <c r="CJ90" t="s">
        <v>497</v>
      </c>
    </row>
    <row r="91" spans="1:88" x14ac:dyDescent="0.25">
      <c r="A91" t="s">
        <v>16</v>
      </c>
      <c r="B91" t="s">
        <v>110</v>
      </c>
      <c r="C91" t="s">
        <v>107</v>
      </c>
      <c r="D91">
        <v>12187</v>
      </c>
      <c r="E91">
        <v>9</v>
      </c>
      <c r="F91" s="24" t="str">
        <f t="shared" si="27"/>
        <v>2023-10</v>
      </c>
      <c r="O91" t="s">
        <v>14</v>
      </c>
      <c r="P91" t="s">
        <v>113</v>
      </c>
      <c r="Q91">
        <v>7</v>
      </c>
      <c r="AA91">
        <v>12187</v>
      </c>
      <c r="AB91" t="s">
        <v>100</v>
      </c>
      <c r="AC91" t="s">
        <v>116</v>
      </c>
      <c r="AD91">
        <f t="shared" si="24"/>
        <v>5</v>
      </c>
      <c r="AE91">
        <f t="shared" si="25"/>
        <v>325635</v>
      </c>
      <c r="AG91" t="s">
        <v>14</v>
      </c>
      <c r="AH91" t="s">
        <v>113</v>
      </c>
      <c r="AI91" t="s">
        <v>42</v>
      </c>
      <c r="AJ91">
        <f t="shared" si="26"/>
        <v>4</v>
      </c>
      <c r="BF91" t="s">
        <v>113</v>
      </c>
      <c r="BG91" t="s">
        <v>14</v>
      </c>
      <c r="BH91">
        <v>7</v>
      </c>
      <c r="BI91" t="s">
        <v>497</v>
      </c>
      <c r="CG91" t="s">
        <v>16</v>
      </c>
      <c r="CH91" t="s">
        <v>110</v>
      </c>
      <c r="CI91">
        <v>12187</v>
      </c>
      <c r="CJ91" t="s">
        <v>497</v>
      </c>
    </row>
    <row r="92" spans="1:88" x14ac:dyDescent="0.25">
      <c r="A92" t="s">
        <v>14</v>
      </c>
      <c r="B92" t="s">
        <v>111</v>
      </c>
      <c r="C92" t="s">
        <v>107</v>
      </c>
      <c r="D92">
        <v>22166</v>
      </c>
      <c r="E92">
        <v>5</v>
      </c>
      <c r="F92" s="24" t="str">
        <f t="shared" si="27"/>
        <v>2023-10</v>
      </c>
      <c r="O92" t="s">
        <v>75</v>
      </c>
      <c r="P92" t="s">
        <v>115</v>
      </c>
      <c r="Q92">
        <v>6</v>
      </c>
      <c r="AA92">
        <v>22166</v>
      </c>
      <c r="AB92" t="s">
        <v>18</v>
      </c>
      <c r="AC92" t="s">
        <v>118</v>
      </c>
      <c r="AD92">
        <f t="shared" si="24"/>
        <v>5</v>
      </c>
      <c r="AE92">
        <f t="shared" si="25"/>
        <v>240152</v>
      </c>
      <c r="AG92" t="s">
        <v>75</v>
      </c>
      <c r="AH92" t="s">
        <v>115</v>
      </c>
      <c r="AI92" t="s">
        <v>43</v>
      </c>
      <c r="AJ92">
        <f t="shared" si="26"/>
        <v>4</v>
      </c>
      <c r="BF92" t="s">
        <v>115</v>
      </c>
      <c r="BG92" t="s">
        <v>75</v>
      </c>
      <c r="BH92">
        <v>6</v>
      </c>
      <c r="BI92" t="s">
        <v>497</v>
      </c>
      <c r="CG92" t="s">
        <v>14</v>
      </c>
      <c r="CH92" t="s">
        <v>111</v>
      </c>
      <c r="CI92">
        <v>22166</v>
      </c>
      <c r="CJ92" t="s">
        <v>497</v>
      </c>
    </row>
    <row r="93" spans="1:88" x14ac:dyDescent="0.25">
      <c r="A93" t="s">
        <v>53</v>
      </c>
      <c r="B93" t="s">
        <v>112</v>
      </c>
      <c r="C93" t="s">
        <v>107</v>
      </c>
      <c r="D93">
        <v>92006</v>
      </c>
      <c r="E93">
        <v>10</v>
      </c>
      <c r="F93" s="24" t="str">
        <f t="shared" si="27"/>
        <v>2023-10</v>
      </c>
      <c r="O93" t="s">
        <v>75</v>
      </c>
      <c r="P93" t="s">
        <v>87</v>
      </c>
      <c r="Q93">
        <v>9</v>
      </c>
      <c r="AA93">
        <v>92006</v>
      </c>
      <c r="AB93" t="s">
        <v>87</v>
      </c>
      <c r="AC93" t="s">
        <v>138</v>
      </c>
      <c r="AD93">
        <f t="shared" si="24"/>
        <v>5</v>
      </c>
      <c r="AE93">
        <f t="shared" si="25"/>
        <v>250662</v>
      </c>
      <c r="AG93" t="s">
        <v>75</v>
      </c>
      <c r="AH93" t="s">
        <v>87</v>
      </c>
      <c r="AI93" t="s">
        <v>49</v>
      </c>
      <c r="AJ93">
        <f t="shared" si="26"/>
        <v>4</v>
      </c>
      <c r="BF93" t="s">
        <v>87</v>
      </c>
      <c r="BG93" t="s">
        <v>75</v>
      </c>
      <c r="BH93">
        <v>9</v>
      </c>
      <c r="BI93" t="s">
        <v>497</v>
      </c>
      <c r="CG93" t="s">
        <v>53</v>
      </c>
      <c r="CH93" t="s">
        <v>112</v>
      </c>
      <c r="CI93">
        <v>92006</v>
      </c>
      <c r="CJ93" t="s">
        <v>497</v>
      </c>
    </row>
    <row r="94" spans="1:88" x14ac:dyDescent="0.25">
      <c r="A94" t="s">
        <v>14</v>
      </c>
      <c r="B94" t="s">
        <v>113</v>
      </c>
      <c r="C94" t="s">
        <v>114</v>
      </c>
      <c r="D94">
        <v>91390</v>
      </c>
      <c r="E94">
        <v>7</v>
      </c>
      <c r="F94" s="24" t="str">
        <f t="shared" si="27"/>
        <v>2023-10</v>
      </c>
      <c r="O94" t="s">
        <v>21</v>
      </c>
      <c r="P94" t="s">
        <v>116</v>
      </c>
      <c r="Q94">
        <v>8</v>
      </c>
      <c r="AA94">
        <v>91390</v>
      </c>
      <c r="AB94" t="s">
        <v>116</v>
      </c>
      <c r="AC94" t="s">
        <v>139</v>
      </c>
      <c r="AD94">
        <f t="shared" si="24"/>
        <v>5</v>
      </c>
      <c r="AE94">
        <f t="shared" si="25"/>
        <v>215960</v>
      </c>
      <c r="AG94" t="s">
        <v>21</v>
      </c>
      <c r="AH94" t="s">
        <v>116</v>
      </c>
      <c r="AI94" t="s">
        <v>51</v>
      </c>
      <c r="AJ94">
        <f t="shared" si="26"/>
        <v>4</v>
      </c>
      <c r="BF94" t="s">
        <v>116</v>
      </c>
      <c r="BG94" t="s">
        <v>21</v>
      </c>
      <c r="BH94">
        <v>8</v>
      </c>
      <c r="BI94" t="s">
        <v>497</v>
      </c>
      <c r="CG94" t="s">
        <v>14</v>
      </c>
      <c r="CH94" t="s">
        <v>113</v>
      </c>
      <c r="CI94">
        <v>91390</v>
      </c>
      <c r="CJ94" t="s">
        <v>497</v>
      </c>
    </row>
    <row r="95" spans="1:88" x14ac:dyDescent="0.25">
      <c r="A95" t="s">
        <v>75</v>
      </c>
      <c r="B95" t="s">
        <v>115</v>
      </c>
      <c r="C95" t="s">
        <v>114</v>
      </c>
      <c r="D95">
        <v>36090</v>
      </c>
      <c r="E95">
        <v>6</v>
      </c>
      <c r="F95" s="24" t="str">
        <f t="shared" si="27"/>
        <v>2023-10</v>
      </c>
      <c r="O95" t="s">
        <v>29</v>
      </c>
      <c r="P95" t="s">
        <v>79</v>
      </c>
      <c r="Q95">
        <v>3</v>
      </c>
      <c r="AA95">
        <v>36090</v>
      </c>
      <c r="AB95" t="s">
        <v>123</v>
      </c>
      <c r="AC95" t="s">
        <v>151</v>
      </c>
      <c r="AD95">
        <f t="shared" si="24"/>
        <v>5</v>
      </c>
      <c r="AE95">
        <f t="shared" si="25"/>
        <v>213279</v>
      </c>
      <c r="AG95" t="s">
        <v>29</v>
      </c>
      <c r="AH95" t="s">
        <v>79</v>
      </c>
      <c r="AI95" t="s">
        <v>56</v>
      </c>
      <c r="AJ95">
        <f t="shared" si="26"/>
        <v>4</v>
      </c>
      <c r="BF95" t="s">
        <v>79</v>
      </c>
      <c r="BG95" t="s">
        <v>29</v>
      </c>
      <c r="BH95">
        <v>3</v>
      </c>
      <c r="BI95" t="s">
        <v>497</v>
      </c>
      <c r="CG95" t="s">
        <v>75</v>
      </c>
      <c r="CH95" t="s">
        <v>115</v>
      </c>
      <c r="CI95">
        <v>36090</v>
      </c>
      <c r="CJ95" t="s">
        <v>497</v>
      </c>
    </row>
    <row r="96" spans="1:88" x14ac:dyDescent="0.25">
      <c r="A96" t="s">
        <v>75</v>
      </c>
      <c r="B96" t="s">
        <v>87</v>
      </c>
      <c r="C96" t="s">
        <v>114</v>
      </c>
      <c r="D96">
        <v>63037</v>
      </c>
      <c r="E96">
        <v>9</v>
      </c>
      <c r="F96" s="24" t="str">
        <f t="shared" si="27"/>
        <v>2023-10</v>
      </c>
      <c r="O96" t="s">
        <v>8</v>
      </c>
      <c r="P96" t="s">
        <v>118</v>
      </c>
      <c r="Q96">
        <v>3</v>
      </c>
      <c r="AA96">
        <v>63037</v>
      </c>
      <c r="AB96" t="s">
        <v>39</v>
      </c>
      <c r="AC96" t="s">
        <v>155</v>
      </c>
      <c r="AD96">
        <f t="shared" si="24"/>
        <v>5</v>
      </c>
      <c r="AE96">
        <f t="shared" si="25"/>
        <v>155876</v>
      </c>
      <c r="AG96" t="s">
        <v>8</v>
      </c>
      <c r="AH96" t="s">
        <v>118</v>
      </c>
      <c r="AI96" t="s">
        <v>65</v>
      </c>
      <c r="AJ96">
        <f t="shared" si="26"/>
        <v>4</v>
      </c>
      <c r="BF96" t="s">
        <v>118</v>
      </c>
      <c r="BG96" t="s">
        <v>8</v>
      </c>
      <c r="BH96">
        <v>3</v>
      </c>
      <c r="BI96" t="s">
        <v>497</v>
      </c>
      <c r="CG96" t="s">
        <v>75</v>
      </c>
      <c r="CH96" t="s">
        <v>87</v>
      </c>
      <c r="CI96">
        <v>63037</v>
      </c>
      <c r="CJ96" t="s">
        <v>497</v>
      </c>
    </row>
    <row r="97" spans="1:88" x14ac:dyDescent="0.25">
      <c r="A97" t="s">
        <v>21</v>
      </c>
      <c r="B97" t="s">
        <v>116</v>
      </c>
      <c r="C97" t="s">
        <v>114</v>
      </c>
      <c r="D97">
        <v>14320</v>
      </c>
      <c r="E97">
        <v>8</v>
      </c>
      <c r="F97" s="24" t="str">
        <f t="shared" si="27"/>
        <v>2023-10</v>
      </c>
      <c r="O97" t="s">
        <v>16</v>
      </c>
      <c r="P97" t="s">
        <v>50</v>
      </c>
      <c r="Q97">
        <v>5</v>
      </c>
      <c r="AA97">
        <v>14320</v>
      </c>
      <c r="AB97" t="s">
        <v>109</v>
      </c>
      <c r="AC97" t="s">
        <v>156</v>
      </c>
      <c r="AD97">
        <f t="shared" si="24"/>
        <v>5</v>
      </c>
      <c r="AE97">
        <f t="shared" si="25"/>
        <v>270886</v>
      </c>
      <c r="AG97" t="s">
        <v>16</v>
      </c>
      <c r="AH97" t="s">
        <v>50</v>
      </c>
      <c r="AI97" t="s">
        <v>87</v>
      </c>
      <c r="AJ97">
        <f t="shared" si="26"/>
        <v>4</v>
      </c>
      <c r="BF97" t="s">
        <v>50</v>
      </c>
      <c r="BG97" t="s">
        <v>16</v>
      </c>
      <c r="BH97">
        <v>5</v>
      </c>
      <c r="BI97" t="s">
        <v>497</v>
      </c>
      <c r="CG97" t="s">
        <v>21</v>
      </c>
      <c r="CH97" t="s">
        <v>116</v>
      </c>
      <c r="CI97">
        <v>14320</v>
      </c>
      <c r="CJ97" t="s">
        <v>497</v>
      </c>
    </row>
    <row r="98" spans="1:88" x14ac:dyDescent="0.25">
      <c r="A98" t="s">
        <v>29</v>
      </c>
      <c r="B98" t="s">
        <v>79</v>
      </c>
      <c r="C98" t="s">
        <v>117</v>
      </c>
      <c r="D98">
        <v>30230</v>
      </c>
      <c r="E98">
        <v>3</v>
      </c>
      <c r="F98" s="24" t="str">
        <f t="shared" si="27"/>
        <v>2023-10</v>
      </c>
      <c r="O98" t="s">
        <v>29</v>
      </c>
      <c r="P98" t="s">
        <v>119</v>
      </c>
      <c r="Q98">
        <v>2</v>
      </c>
      <c r="AA98">
        <v>30230</v>
      </c>
      <c r="AB98" t="s">
        <v>131</v>
      </c>
      <c r="AC98" t="s">
        <v>166</v>
      </c>
      <c r="AD98">
        <f t="shared" si="24"/>
        <v>5</v>
      </c>
      <c r="AE98">
        <f t="shared" si="25"/>
        <v>311790</v>
      </c>
      <c r="AG98" t="s">
        <v>29</v>
      </c>
      <c r="AH98" t="s">
        <v>119</v>
      </c>
      <c r="AI98" t="s">
        <v>89</v>
      </c>
      <c r="AJ98">
        <f t="shared" ref="AJ98:AJ129" si="28">COUNTIF(AH:AH,AI98)</f>
        <v>4</v>
      </c>
      <c r="BF98" t="s">
        <v>119</v>
      </c>
      <c r="BG98" t="s">
        <v>29</v>
      </c>
      <c r="BH98">
        <v>2</v>
      </c>
      <c r="BI98" t="s">
        <v>497</v>
      </c>
      <c r="CG98" t="s">
        <v>29</v>
      </c>
      <c r="CH98" t="s">
        <v>79</v>
      </c>
      <c r="CI98">
        <v>30230</v>
      </c>
      <c r="CJ98" t="s">
        <v>497</v>
      </c>
    </row>
    <row r="99" spans="1:88" x14ac:dyDescent="0.25">
      <c r="A99" t="s">
        <v>8</v>
      </c>
      <c r="B99" t="s">
        <v>118</v>
      </c>
      <c r="C99" t="s">
        <v>117</v>
      </c>
      <c r="D99">
        <v>20150</v>
      </c>
      <c r="E99">
        <v>3</v>
      </c>
      <c r="F99" s="24" t="str">
        <f t="shared" si="27"/>
        <v>2023-10</v>
      </c>
      <c r="O99" t="s">
        <v>35</v>
      </c>
      <c r="P99" t="s">
        <v>62</v>
      </c>
      <c r="Q99">
        <v>3</v>
      </c>
      <c r="AA99">
        <v>20150</v>
      </c>
      <c r="AB99" t="s">
        <v>138</v>
      </c>
      <c r="AC99" t="s">
        <v>179</v>
      </c>
      <c r="AD99">
        <f t="shared" si="24"/>
        <v>5</v>
      </c>
      <c r="AE99">
        <f t="shared" si="25"/>
        <v>204389</v>
      </c>
      <c r="AG99" t="s">
        <v>35</v>
      </c>
      <c r="AH99" t="s">
        <v>62</v>
      </c>
      <c r="AI99" t="s">
        <v>94</v>
      </c>
      <c r="AJ99">
        <f t="shared" si="28"/>
        <v>4</v>
      </c>
      <c r="BF99" t="s">
        <v>62</v>
      </c>
      <c r="BG99" t="s">
        <v>35</v>
      </c>
      <c r="BH99">
        <v>3</v>
      </c>
      <c r="BI99" t="s">
        <v>497</v>
      </c>
      <c r="CG99" t="s">
        <v>8</v>
      </c>
      <c r="CH99" t="s">
        <v>118</v>
      </c>
      <c r="CI99">
        <v>20150</v>
      </c>
      <c r="CJ99" t="s">
        <v>497</v>
      </c>
    </row>
    <row r="100" spans="1:88" x14ac:dyDescent="0.25">
      <c r="A100" t="s">
        <v>16</v>
      </c>
      <c r="B100" t="s">
        <v>50</v>
      </c>
      <c r="C100" t="s">
        <v>117</v>
      </c>
      <c r="D100">
        <v>75497</v>
      </c>
      <c r="E100">
        <v>5</v>
      </c>
      <c r="F100" s="24" t="str">
        <f t="shared" si="27"/>
        <v>2023-10</v>
      </c>
      <c r="O100" t="s">
        <v>55</v>
      </c>
      <c r="P100" t="s">
        <v>121</v>
      </c>
      <c r="Q100">
        <v>7</v>
      </c>
      <c r="AA100">
        <v>75497</v>
      </c>
      <c r="AB100" t="s">
        <v>61</v>
      </c>
      <c r="AC100" t="s">
        <v>180</v>
      </c>
      <c r="AD100">
        <f t="shared" si="24"/>
        <v>5</v>
      </c>
      <c r="AE100">
        <f t="shared" si="25"/>
        <v>322321</v>
      </c>
      <c r="AG100" t="s">
        <v>55</v>
      </c>
      <c r="AH100" t="s">
        <v>121</v>
      </c>
      <c r="AI100" t="s">
        <v>108</v>
      </c>
      <c r="AJ100">
        <f t="shared" si="28"/>
        <v>4</v>
      </c>
      <c r="BF100" t="s">
        <v>121</v>
      </c>
      <c r="BG100" t="s">
        <v>55</v>
      </c>
      <c r="BH100">
        <v>7</v>
      </c>
      <c r="BI100" t="s">
        <v>497</v>
      </c>
      <c r="CG100" t="s">
        <v>16</v>
      </c>
      <c r="CH100" t="s">
        <v>50</v>
      </c>
      <c r="CI100">
        <v>75497</v>
      </c>
      <c r="CJ100" t="s">
        <v>497</v>
      </c>
    </row>
    <row r="101" spans="1:88" x14ac:dyDescent="0.25">
      <c r="A101" t="s">
        <v>29</v>
      </c>
      <c r="B101" t="s">
        <v>119</v>
      </c>
      <c r="C101" t="s">
        <v>117</v>
      </c>
      <c r="D101">
        <v>20306</v>
      </c>
      <c r="E101">
        <v>2</v>
      </c>
      <c r="F101" s="24" t="str">
        <f t="shared" si="27"/>
        <v>2023-10</v>
      </c>
      <c r="O101" t="s">
        <v>5</v>
      </c>
      <c r="P101" t="s">
        <v>122</v>
      </c>
      <c r="Q101">
        <v>9</v>
      </c>
      <c r="AA101">
        <v>20306</v>
      </c>
      <c r="AB101" t="s">
        <v>145</v>
      </c>
      <c r="AC101" t="s">
        <v>197</v>
      </c>
      <c r="AD101">
        <f t="shared" si="24"/>
        <v>5</v>
      </c>
      <c r="AE101">
        <f t="shared" si="25"/>
        <v>254463</v>
      </c>
      <c r="AG101" t="s">
        <v>5</v>
      </c>
      <c r="AH101" t="s">
        <v>122</v>
      </c>
      <c r="AI101" t="s">
        <v>110</v>
      </c>
      <c r="AJ101">
        <f t="shared" si="28"/>
        <v>4</v>
      </c>
      <c r="BF101" t="s">
        <v>122</v>
      </c>
      <c r="BG101" t="s">
        <v>5</v>
      </c>
      <c r="BH101">
        <v>9</v>
      </c>
      <c r="BI101" t="s">
        <v>497</v>
      </c>
      <c r="CG101" t="s">
        <v>29</v>
      </c>
      <c r="CH101" t="s">
        <v>119</v>
      </c>
      <c r="CI101">
        <v>20306</v>
      </c>
      <c r="CJ101" t="s">
        <v>497</v>
      </c>
    </row>
    <row r="102" spans="1:88" x14ac:dyDescent="0.25">
      <c r="A102" t="s">
        <v>35</v>
      </c>
      <c r="B102" t="s">
        <v>62</v>
      </c>
      <c r="C102" t="s">
        <v>120</v>
      </c>
      <c r="D102">
        <v>65390</v>
      </c>
      <c r="E102">
        <v>3</v>
      </c>
      <c r="F102" s="24" t="str">
        <f t="shared" si="27"/>
        <v>2023-10</v>
      </c>
      <c r="O102" t="s">
        <v>29</v>
      </c>
      <c r="P102" t="s">
        <v>123</v>
      </c>
      <c r="Q102">
        <v>8</v>
      </c>
      <c r="AA102">
        <v>65390</v>
      </c>
      <c r="AB102" t="s">
        <v>166</v>
      </c>
      <c r="AC102" t="s">
        <v>234</v>
      </c>
      <c r="AD102">
        <f t="shared" si="24"/>
        <v>5</v>
      </c>
      <c r="AE102">
        <f t="shared" si="25"/>
        <v>299778</v>
      </c>
      <c r="AG102" t="s">
        <v>29</v>
      </c>
      <c r="AH102" t="s">
        <v>123</v>
      </c>
      <c r="AI102" t="s">
        <v>113</v>
      </c>
      <c r="AJ102">
        <f t="shared" si="28"/>
        <v>4</v>
      </c>
      <c r="BF102" t="s">
        <v>123</v>
      </c>
      <c r="BG102" t="s">
        <v>29</v>
      </c>
      <c r="BH102">
        <v>8</v>
      </c>
      <c r="BI102" t="s">
        <v>497</v>
      </c>
      <c r="CG102" t="s">
        <v>35</v>
      </c>
      <c r="CH102" t="s">
        <v>62</v>
      </c>
      <c r="CI102">
        <v>65390</v>
      </c>
      <c r="CJ102" t="s">
        <v>497</v>
      </c>
    </row>
    <row r="103" spans="1:88" x14ac:dyDescent="0.25">
      <c r="A103" t="s">
        <v>55</v>
      </c>
      <c r="B103" t="s">
        <v>121</v>
      </c>
      <c r="C103" t="s">
        <v>120</v>
      </c>
      <c r="D103">
        <v>19945</v>
      </c>
      <c r="E103">
        <v>7</v>
      </c>
      <c r="F103" s="24" t="str">
        <f t="shared" si="27"/>
        <v>2023-10</v>
      </c>
      <c r="O103" t="s">
        <v>35</v>
      </c>
      <c r="P103" t="s">
        <v>125</v>
      </c>
      <c r="Q103">
        <v>6</v>
      </c>
      <c r="AA103">
        <v>19945</v>
      </c>
      <c r="AB103" t="s">
        <v>131</v>
      </c>
      <c r="AC103" t="s">
        <v>284</v>
      </c>
      <c r="AD103">
        <f t="shared" si="24"/>
        <v>5</v>
      </c>
      <c r="AE103">
        <f t="shared" si="25"/>
        <v>202046</v>
      </c>
      <c r="AG103" t="s">
        <v>35</v>
      </c>
      <c r="AH103" t="s">
        <v>125</v>
      </c>
      <c r="AI103" t="s">
        <v>115</v>
      </c>
      <c r="AJ103">
        <f t="shared" si="28"/>
        <v>4</v>
      </c>
      <c r="BF103" t="s">
        <v>125</v>
      </c>
      <c r="BG103" t="s">
        <v>35</v>
      </c>
      <c r="BH103">
        <v>6</v>
      </c>
      <c r="BI103" t="s">
        <v>497</v>
      </c>
      <c r="CG103" t="s">
        <v>55</v>
      </c>
      <c r="CH103" t="s">
        <v>121</v>
      </c>
      <c r="CI103">
        <v>19945</v>
      </c>
      <c r="CJ103" t="s">
        <v>497</v>
      </c>
    </row>
    <row r="104" spans="1:88" x14ac:dyDescent="0.25">
      <c r="A104" t="s">
        <v>5</v>
      </c>
      <c r="B104" t="s">
        <v>122</v>
      </c>
      <c r="C104" t="s">
        <v>120</v>
      </c>
      <c r="D104">
        <v>29954</v>
      </c>
      <c r="E104">
        <v>9</v>
      </c>
      <c r="F104" s="24" t="str">
        <f t="shared" si="27"/>
        <v>2023-10</v>
      </c>
      <c r="O104" t="s">
        <v>5</v>
      </c>
      <c r="P104" t="s">
        <v>39</v>
      </c>
      <c r="Q104">
        <v>5</v>
      </c>
      <c r="AA104">
        <v>29954</v>
      </c>
      <c r="AB104" t="s">
        <v>179</v>
      </c>
      <c r="AC104" t="s">
        <v>306</v>
      </c>
      <c r="AD104">
        <f t="shared" si="24"/>
        <v>5</v>
      </c>
      <c r="AE104">
        <f t="shared" si="25"/>
        <v>154271</v>
      </c>
      <c r="AG104" t="s">
        <v>5</v>
      </c>
      <c r="AH104" t="s">
        <v>39</v>
      </c>
      <c r="AI104" t="s">
        <v>129</v>
      </c>
      <c r="AJ104">
        <f t="shared" si="28"/>
        <v>4</v>
      </c>
      <c r="BF104" t="s">
        <v>39</v>
      </c>
      <c r="BG104" t="s">
        <v>5</v>
      </c>
      <c r="BH104">
        <v>5</v>
      </c>
      <c r="BI104" t="s">
        <v>497</v>
      </c>
      <c r="CG104" t="s">
        <v>5</v>
      </c>
      <c r="CH104" t="s">
        <v>122</v>
      </c>
      <c r="CI104">
        <v>29954</v>
      </c>
      <c r="CJ104" t="s">
        <v>497</v>
      </c>
    </row>
    <row r="105" spans="1:88" x14ac:dyDescent="0.25">
      <c r="A105" t="s">
        <v>29</v>
      </c>
      <c r="B105" t="s">
        <v>123</v>
      </c>
      <c r="C105" t="s">
        <v>124</v>
      </c>
      <c r="D105">
        <v>15386</v>
      </c>
      <c r="E105">
        <v>8</v>
      </c>
      <c r="F105" s="24" t="str">
        <f t="shared" si="27"/>
        <v>2023-10</v>
      </c>
      <c r="O105" t="s">
        <v>37</v>
      </c>
      <c r="P105" t="s">
        <v>109</v>
      </c>
      <c r="Q105">
        <v>4</v>
      </c>
      <c r="AA105">
        <v>15386</v>
      </c>
      <c r="AB105" t="s">
        <v>188</v>
      </c>
      <c r="AC105" t="s">
        <v>370</v>
      </c>
      <c r="AD105">
        <f t="shared" si="24"/>
        <v>5</v>
      </c>
      <c r="AE105">
        <f t="shared" si="25"/>
        <v>278547</v>
      </c>
      <c r="AG105" t="s">
        <v>37</v>
      </c>
      <c r="AH105" t="s">
        <v>109</v>
      </c>
      <c r="AI105" t="s">
        <v>134</v>
      </c>
      <c r="AJ105">
        <f t="shared" si="28"/>
        <v>4</v>
      </c>
      <c r="BF105" t="s">
        <v>109</v>
      </c>
      <c r="BG105" t="s">
        <v>37</v>
      </c>
      <c r="BH105">
        <v>4</v>
      </c>
      <c r="BI105" t="s">
        <v>497</v>
      </c>
      <c r="CG105" t="s">
        <v>29</v>
      </c>
      <c r="CH105" t="s">
        <v>123</v>
      </c>
      <c r="CI105">
        <v>15386</v>
      </c>
      <c r="CJ105" t="s">
        <v>497</v>
      </c>
    </row>
    <row r="106" spans="1:88" x14ac:dyDescent="0.25">
      <c r="A106" t="s">
        <v>35</v>
      </c>
      <c r="B106" t="s">
        <v>125</v>
      </c>
      <c r="C106" t="s">
        <v>124</v>
      </c>
      <c r="D106">
        <v>15144</v>
      </c>
      <c r="E106">
        <v>6</v>
      </c>
      <c r="F106" s="24" t="str">
        <f t="shared" si="27"/>
        <v>2023-10</v>
      </c>
      <c r="O106" t="s">
        <v>37</v>
      </c>
      <c r="P106" t="s">
        <v>11</v>
      </c>
      <c r="Q106">
        <v>8</v>
      </c>
      <c r="AA106">
        <v>15144</v>
      </c>
      <c r="AB106" t="s">
        <v>15</v>
      </c>
      <c r="AC106" t="s">
        <v>15</v>
      </c>
      <c r="AD106">
        <f t="shared" si="24"/>
        <v>4</v>
      </c>
      <c r="AE106">
        <f t="shared" si="25"/>
        <v>134503</v>
      </c>
      <c r="AG106" t="s">
        <v>37</v>
      </c>
      <c r="AH106" t="s">
        <v>11</v>
      </c>
      <c r="AI106" t="s">
        <v>135</v>
      </c>
      <c r="AJ106">
        <f t="shared" si="28"/>
        <v>4</v>
      </c>
      <c r="BF106" t="s">
        <v>11</v>
      </c>
      <c r="BG106" t="s">
        <v>37</v>
      </c>
      <c r="BH106">
        <v>8</v>
      </c>
      <c r="BI106" t="s">
        <v>497</v>
      </c>
      <c r="CG106" t="s">
        <v>35</v>
      </c>
      <c r="CH106" t="s">
        <v>125</v>
      </c>
      <c r="CI106">
        <v>15144</v>
      </c>
      <c r="CJ106" t="s">
        <v>497</v>
      </c>
    </row>
    <row r="107" spans="1:88" x14ac:dyDescent="0.25">
      <c r="A107" t="s">
        <v>5</v>
      </c>
      <c r="B107" t="s">
        <v>39</v>
      </c>
      <c r="C107" t="s">
        <v>124</v>
      </c>
      <c r="D107">
        <v>30756</v>
      </c>
      <c r="E107">
        <v>5</v>
      </c>
      <c r="F107" s="24" t="str">
        <f t="shared" si="27"/>
        <v>2023-10</v>
      </c>
      <c r="O107" t="s">
        <v>10</v>
      </c>
      <c r="P107" t="s">
        <v>62</v>
      </c>
      <c r="Q107">
        <v>5</v>
      </c>
      <c r="AA107">
        <v>30756</v>
      </c>
      <c r="AB107" t="s">
        <v>41</v>
      </c>
      <c r="AC107" t="s">
        <v>42</v>
      </c>
      <c r="AD107">
        <f t="shared" si="24"/>
        <v>4</v>
      </c>
      <c r="AE107">
        <f t="shared" si="25"/>
        <v>222431</v>
      </c>
      <c r="AG107" t="s">
        <v>10</v>
      </c>
      <c r="AH107" t="s">
        <v>62</v>
      </c>
      <c r="AI107" t="s">
        <v>137</v>
      </c>
      <c r="AJ107">
        <f t="shared" si="28"/>
        <v>4</v>
      </c>
      <c r="BF107" t="s">
        <v>62</v>
      </c>
      <c r="BG107" t="s">
        <v>10</v>
      </c>
      <c r="BH107">
        <v>5</v>
      </c>
      <c r="BI107" t="s">
        <v>497</v>
      </c>
      <c r="CG107" t="s">
        <v>5</v>
      </c>
      <c r="CH107" t="s">
        <v>39</v>
      </c>
      <c r="CI107">
        <v>30756</v>
      </c>
      <c r="CJ107" t="s">
        <v>497</v>
      </c>
    </row>
    <row r="108" spans="1:88" x14ac:dyDescent="0.25">
      <c r="A108" t="s">
        <v>37</v>
      </c>
      <c r="B108" t="s">
        <v>109</v>
      </c>
      <c r="C108" t="s">
        <v>124</v>
      </c>
      <c r="D108">
        <v>73798</v>
      </c>
      <c r="E108">
        <v>4</v>
      </c>
      <c r="F108" s="24" t="str">
        <f t="shared" si="27"/>
        <v>2023-10</v>
      </c>
      <c r="O108" t="s">
        <v>14</v>
      </c>
      <c r="P108" t="s">
        <v>127</v>
      </c>
      <c r="Q108">
        <v>5</v>
      </c>
      <c r="AA108">
        <v>73798</v>
      </c>
      <c r="AB108" t="s">
        <v>24</v>
      </c>
      <c r="AC108" t="s">
        <v>56</v>
      </c>
      <c r="AD108">
        <f t="shared" si="24"/>
        <v>4</v>
      </c>
      <c r="AE108">
        <f t="shared" si="25"/>
        <v>222584</v>
      </c>
      <c r="AG108" t="s">
        <v>14</v>
      </c>
      <c r="AH108" t="s">
        <v>127</v>
      </c>
      <c r="AI108" t="s">
        <v>145</v>
      </c>
      <c r="AJ108">
        <f t="shared" si="28"/>
        <v>4</v>
      </c>
      <c r="BF108" t="s">
        <v>127</v>
      </c>
      <c r="BG108" t="s">
        <v>14</v>
      </c>
      <c r="BH108">
        <v>5</v>
      </c>
      <c r="BI108" t="s">
        <v>497</v>
      </c>
      <c r="CG108" t="s">
        <v>37</v>
      </c>
      <c r="CH108" t="s">
        <v>109</v>
      </c>
      <c r="CI108">
        <v>73798</v>
      </c>
      <c r="CJ108" t="s">
        <v>497</v>
      </c>
    </row>
    <row r="109" spans="1:88" x14ac:dyDescent="0.25">
      <c r="A109" t="s">
        <v>37</v>
      </c>
      <c r="B109" t="s">
        <v>11</v>
      </c>
      <c r="C109" t="s">
        <v>124</v>
      </c>
      <c r="D109">
        <v>70190</v>
      </c>
      <c r="E109">
        <v>8</v>
      </c>
      <c r="F109" s="24" t="str">
        <f t="shared" si="27"/>
        <v>2023-10</v>
      </c>
      <c r="O109" t="s">
        <v>37</v>
      </c>
      <c r="P109" t="s">
        <v>128</v>
      </c>
      <c r="Q109">
        <v>6</v>
      </c>
      <c r="AA109">
        <v>70190</v>
      </c>
      <c r="AB109" t="s">
        <v>63</v>
      </c>
      <c r="AC109" t="s">
        <v>69</v>
      </c>
      <c r="AD109">
        <f t="shared" si="24"/>
        <v>4</v>
      </c>
      <c r="AE109">
        <f t="shared" si="25"/>
        <v>166446</v>
      </c>
      <c r="AG109" t="s">
        <v>37</v>
      </c>
      <c r="AH109" t="s">
        <v>128</v>
      </c>
      <c r="AI109" t="s">
        <v>156</v>
      </c>
      <c r="AJ109">
        <f t="shared" si="28"/>
        <v>4</v>
      </c>
      <c r="BF109" t="s">
        <v>128</v>
      </c>
      <c r="BG109" t="s">
        <v>37</v>
      </c>
      <c r="BH109">
        <v>6</v>
      </c>
      <c r="BI109" t="s">
        <v>497</v>
      </c>
      <c r="CG109" t="s">
        <v>37</v>
      </c>
      <c r="CH109" t="s">
        <v>11</v>
      </c>
      <c r="CI109">
        <v>70190</v>
      </c>
      <c r="CJ109" t="s">
        <v>497</v>
      </c>
    </row>
    <row r="110" spans="1:88" x14ac:dyDescent="0.25">
      <c r="A110" t="s">
        <v>10</v>
      </c>
      <c r="B110" t="s">
        <v>62</v>
      </c>
      <c r="C110" t="s">
        <v>126</v>
      </c>
      <c r="D110">
        <v>85319</v>
      </c>
      <c r="E110">
        <v>5</v>
      </c>
      <c r="F110" s="24" t="str">
        <f t="shared" si="27"/>
        <v>2023-10</v>
      </c>
      <c r="O110" t="s">
        <v>10</v>
      </c>
      <c r="P110" t="s">
        <v>129</v>
      </c>
      <c r="Q110">
        <v>10</v>
      </c>
      <c r="AA110">
        <v>85319</v>
      </c>
      <c r="AB110" t="s">
        <v>68</v>
      </c>
      <c r="AC110" t="s">
        <v>73</v>
      </c>
      <c r="AD110">
        <f t="shared" si="24"/>
        <v>4</v>
      </c>
      <c r="AE110">
        <f t="shared" si="25"/>
        <v>212947</v>
      </c>
      <c r="AG110" t="s">
        <v>10</v>
      </c>
      <c r="AH110" t="s">
        <v>129</v>
      </c>
      <c r="AI110" t="s">
        <v>161</v>
      </c>
      <c r="AJ110">
        <f t="shared" si="28"/>
        <v>4</v>
      </c>
      <c r="BF110" t="s">
        <v>129</v>
      </c>
      <c r="BG110" t="s">
        <v>10</v>
      </c>
      <c r="BH110">
        <v>10</v>
      </c>
      <c r="BI110" t="s">
        <v>497</v>
      </c>
      <c r="CG110" t="s">
        <v>10</v>
      </c>
      <c r="CH110" t="s">
        <v>62</v>
      </c>
      <c r="CI110">
        <v>85319</v>
      </c>
      <c r="CJ110" t="s">
        <v>497</v>
      </c>
    </row>
    <row r="111" spans="1:88" x14ac:dyDescent="0.25">
      <c r="A111" t="s">
        <v>14</v>
      </c>
      <c r="B111" t="s">
        <v>127</v>
      </c>
      <c r="C111" t="s">
        <v>126</v>
      </c>
      <c r="D111">
        <v>53906</v>
      </c>
      <c r="E111">
        <v>5</v>
      </c>
      <c r="F111" s="24" t="str">
        <f t="shared" si="27"/>
        <v>2023-10</v>
      </c>
      <c r="O111" t="s">
        <v>37</v>
      </c>
      <c r="P111" t="s">
        <v>130</v>
      </c>
      <c r="Q111">
        <v>7</v>
      </c>
      <c r="AA111">
        <v>53906</v>
      </c>
      <c r="AB111" t="s">
        <v>50</v>
      </c>
      <c r="AC111" t="s">
        <v>89</v>
      </c>
      <c r="AD111">
        <f t="shared" si="24"/>
        <v>4</v>
      </c>
      <c r="AE111">
        <f t="shared" si="25"/>
        <v>222303</v>
      </c>
      <c r="AG111" t="s">
        <v>37</v>
      </c>
      <c r="AH111" t="s">
        <v>130</v>
      </c>
      <c r="AI111" t="s">
        <v>163</v>
      </c>
      <c r="AJ111">
        <f t="shared" si="28"/>
        <v>4</v>
      </c>
      <c r="BF111" t="s">
        <v>130</v>
      </c>
      <c r="BG111" t="s">
        <v>37</v>
      </c>
      <c r="BH111">
        <v>7</v>
      </c>
      <c r="BI111" t="s">
        <v>497</v>
      </c>
      <c r="CG111" t="s">
        <v>14</v>
      </c>
      <c r="CH111" t="s">
        <v>127</v>
      </c>
      <c r="CI111">
        <v>53906</v>
      </c>
      <c r="CJ111" t="s">
        <v>497</v>
      </c>
    </row>
    <row r="112" spans="1:88" x14ac:dyDescent="0.25">
      <c r="A112" t="s">
        <v>37</v>
      </c>
      <c r="B112" t="s">
        <v>128</v>
      </c>
      <c r="C112" t="s">
        <v>126</v>
      </c>
      <c r="D112">
        <v>17426</v>
      </c>
      <c r="E112">
        <v>6</v>
      </c>
      <c r="F112" s="24" t="str">
        <f t="shared" si="27"/>
        <v>2023-10</v>
      </c>
      <c r="O112" t="s">
        <v>37</v>
      </c>
      <c r="P112" t="s">
        <v>131</v>
      </c>
      <c r="Q112">
        <v>8</v>
      </c>
      <c r="AA112">
        <v>17426</v>
      </c>
      <c r="AB112" t="s">
        <v>81</v>
      </c>
      <c r="AC112" t="s">
        <v>94</v>
      </c>
      <c r="AD112">
        <f t="shared" si="24"/>
        <v>4</v>
      </c>
      <c r="AE112">
        <f t="shared" si="25"/>
        <v>111616</v>
      </c>
      <c r="AG112" t="s">
        <v>37</v>
      </c>
      <c r="AH112" t="s">
        <v>131</v>
      </c>
      <c r="AI112" t="s">
        <v>166</v>
      </c>
      <c r="AJ112">
        <f t="shared" si="28"/>
        <v>4</v>
      </c>
      <c r="BF112" t="s">
        <v>131</v>
      </c>
      <c r="BG112" t="s">
        <v>37</v>
      </c>
      <c r="BH112">
        <v>8</v>
      </c>
      <c r="BI112" t="s">
        <v>497</v>
      </c>
      <c r="CG112" t="s">
        <v>37</v>
      </c>
      <c r="CH112" t="s">
        <v>128</v>
      </c>
      <c r="CI112">
        <v>17426</v>
      </c>
      <c r="CJ112" t="s">
        <v>497</v>
      </c>
    </row>
    <row r="113" spans="1:88" x14ac:dyDescent="0.25">
      <c r="A113" t="s">
        <v>10</v>
      </c>
      <c r="B113" t="s">
        <v>129</v>
      </c>
      <c r="C113" t="s">
        <v>126</v>
      </c>
      <c r="D113">
        <v>31474</v>
      </c>
      <c r="E113">
        <v>10</v>
      </c>
      <c r="F113" s="24" t="str">
        <f t="shared" si="27"/>
        <v>2023-10</v>
      </c>
      <c r="O113" t="s">
        <v>53</v>
      </c>
      <c r="P113" t="s">
        <v>132</v>
      </c>
      <c r="Q113">
        <v>4</v>
      </c>
      <c r="AA113">
        <v>31474</v>
      </c>
      <c r="AB113" t="s">
        <v>96</v>
      </c>
      <c r="AC113" t="s">
        <v>113</v>
      </c>
      <c r="AD113">
        <f t="shared" si="24"/>
        <v>4</v>
      </c>
      <c r="AE113">
        <f t="shared" si="25"/>
        <v>178787</v>
      </c>
      <c r="AG113" t="s">
        <v>53</v>
      </c>
      <c r="AH113" t="s">
        <v>132</v>
      </c>
      <c r="AI113" t="s">
        <v>178</v>
      </c>
      <c r="AJ113">
        <f t="shared" si="28"/>
        <v>4</v>
      </c>
      <c r="BF113" t="s">
        <v>132</v>
      </c>
      <c r="BG113" t="s">
        <v>53</v>
      </c>
      <c r="BH113">
        <v>4</v>
      </c>
      <c r="BI113" t="s">
        <v>497</v>
      </c>
      <c r="CG113" t="s">
        <v>10</v>
      </c>
      <c r="CH113" t="s">
        <v>129</v>
      </c>
      <c r="CI113">
        <v>31474</v>
      </c>
      <c r="CJ113" t="s">
        <v>497</v>
      </c>
    </row>
    <row r="114" spans="1:88" x14ac:dyDescent="0.25">
      <c r="A114" t="s">
        <v>37</v>
      </c>
      <c r="B114" t="s">
        <v>130</v>
      </c>
      <c r="C114" t="s">
        <v>126</v>
      </c>
      <c r="D114">
        <v>45284</v>
      </c>
      <c r="E114">
        <v>7</v>
      </c>
      <c r="F114" s="24" t="str">
        <f t="shared" si="27"/>
        <v>2023-10</v>
      </c>
      <c r="O114" t="s">
        <v>14</v>
      </c>
      <c r="P114" t="s">
        <v>100</v>
      </c>
      <c r="Q114">
        <v>6</v>
      </c>
      <c r="AA114">
        <v>45284</v>
      </c>
      <c r="AB114" t="s">
        <v>88</v>
      </c>
      <c r="AC114" t="s">
        <v>129</v>
      </c>
      <c r="AD114">
        <f t="shared" si="24"/>
        <v>4</v>
      </c>
      <c r="AE114">
        <f t="shared" si="25"/>
        <v>237105</v>
      </c>
      <c r="AG114" t="s">
        <v>14</v>
      </c>
      <c r="AH114" t="s">
        <v>100</v>
      </c>
      <c r="AI114" t="s">
        <v>192</v>
      </c>
      <c r="AJ114">
        <f t="shared" si="28"/>
        <v>4</v>
      </c>
      <c r="BF114" t="s">
        <v>100</v>
      </c>
      <c r="BG114" t="s">
        <v>14</v>
      </c>
      <c r="BH114">
        <v>6</v>
      </c>
      <c r="BI114" t="s">
        <v>497</v>
      </c>
      <c r="CG114" t="s">
        <v>37</v>
      </c>
      <c r="CH114" t="s">
        <v>130</v>
      </c>
      <c r="CI114">
        <v>45284</v>
      </c>
      <c r="CJ114" t="s">
        <v>497</v>
      </c>
    </row>
    <row r="115" spans="1:88" x14ac:dyDescent="0.25">
      <c r="A115" t="s">
        <v>37</v>
      </c>
      <c r="B115" t="s">
        <v>131</v>
      </c>
      <c r="C115" t="s">
        <v>126</v>
      </c>
      <c r="D115">
        <v>94175</v>
      </c>
      <c r="E115">
        <v>8</v>
      </c>
      <c r="F115" s="24" t="str">
        <f t="shared" si="27"/>
        <v>2023-10</v>
      </c>
      <c r="O115" t="s">
        <v>29</v>
      </c>
      <c r="P115" t="s">
        <v>50</v>
      </c>
      <c r="Q115">
        <v>2</v>
      </c>
      <c r="AA115">
        <v>94175</v>
      </c>
      <c r="AB115" t="s">
        <v>111</v>
      </c>
      <c r="AC115" t="s">
        <v>132</v>
      </c>
      <c r="AD115">
        <f t="shared" si="24"/>
        <v>4</v>
      </c>
      <c r="AE115">
        <f t="shared" si="25"/>
        <v>171671</v>
      </c>
      <c r="AG115" t="s">
        <v>29</v>
      </c>
      <c r="AH115" t="s">
        <v>50</v>
      </c>
      <c r="AI115" t="s">
        <v>193</v>
      </c>
      <c r="AJ115">
        <f t="shared" si="28"/>
        <v>4</v>
      </c>
      <c r="BF115" t="s">
        <v>50</v>
      </c>
      <c r="BG115" t="s">
        <v>29</v>
      </c>
      <c r="BH115">
        <v>2</v>
      </c>
      <c r="BI115" t="s">
        <v>497</v>
      </c>
      <c r="CG115" t="s">
        <v>37</v>
      </c>
      <c r="CH115" t="s">
        <v>131</v>
      </c>
      <c r="CI115">
        <v>94175</v>
      </c>
      <c r="CJ115" t="s">
        <v>497</v>
      </c>
    </row>
    <row r="116" spans="1:88" x14ac:dyDescent="0.25">
      <c r="A116" t="s">
        <v>53</v>
      </c>
      <c r="B116" t="s">
        <v>132</v>
      </c>
      <c r="C116" t="s">
        <v>126</v>
      </c>
      <c r="D116">
        <v>10112</v>
      </c>
      <c r="E116">
        <v>4</v>
      </c>
      <c r="F116" s="24" t="str">
        <f t="shared" si="27"/>
        <v>2023-10</v>
      </c>
      <c r="O116" t="s">
        <v>16</v>
      </c>
      <c r="P116" t="s">
        <v>134</v>
      </c>
      <c r="Q116">
        <v>8</v>
      </c>
      <c r="AA116">
        <v>10112</v>
      </c>
      <c r="AB116" t="s">
        <v>112</v>
      </c>
      <c r="AC116" t="s">
        <v>134</v>
      </c>
      <c r="AD116">
        <f t="shared" si="24"/>
        <v>4</v>
      </c>
      <c r="AE116">
        <f t="shared" si="25"/>
        <v>228332</v>
      </c>
      <c r="AG116" t="s">
        <v>16</v>
      </c>
      <c r="AH116" t="s">
        <v>134</v>
      </c>
      <c r="AI116" t="s">
        <v>209</v>
      </c>
      <c r="AJ116">
        <f t="shared" si="28"/>
        <v>4</v>
      </c>
      <c r="BF116" t="s">
        <v>134</v>
      </c>
      <c r="BG116" t="s">
        <v>16</v>
      </c>
      <c r="BH116">
        <v>8</v>
      </c>
      <c r="BI116" t="s">
        <v>497</v>
      </c>
      <c r="CG116" t="s">
        <v>53</v>
      </c>
      <c r="CH116" t="s">
        <v>132</v>
      </c>
      <c r="CI116">
        <v>10112</v>
      </c>
      <c r="CJ116" t="s">
        <v>497</v>
      </c>
    </row>
    <row r="117" spans="1:88" x14ac:dyDescent="0.25">
      <c r="A117" t="s">
        <v>14</v>
      </c>
      <c r="B117" t="s">
        <v>100</v>
      </c>
      <c r="C117" t="s">
        <v>126</v>
      </c>
      <c r="D117">
        <v>52090</v>
      </c>
      <c r="E117">
        <v>6</v>
      </c>
      <c r="F117" s="24" t="str">
        <f t="shared" si="27"/>
        <v>2023-10</v>
      </c>
      <c r="O117" t="s">
        <v>8</v>
      </c>
      <c r="P117" t="s">
        <v>15</v>
      </c>
      <c r="Q117">
        <v>5</v>
      </c>
      <c r="AA117">
        <v>52090</v>
      </c>
      <c r="AB117" t="s">
        <v>113</v>
      </c>
      <c r="AC117" t="s">
        <v>135</v>
      </c>
      <c r="AD117">
        <f t="shared" si="24"/>
        <v>4</v>
      </c>
      <c r="AE117">
        <f t="shared" si="25"/>
        <v>251842</v>
      </c>
      <c r="AG117" t="s">
        <v>8</v>
      </c>
      <c r="AH117" t="s">
        <v>15</v>
      </c>
      <c r="AI117" t="s">
        <v>211</v>
      </c>
      <c r="AJ117">
        <f t="shared" si="28"/>
        <v>4</v>
      </c>
      <c r="BF117" t="s">
        <v>15</v>
      </c>
      <c r="BG117" t="s">
        <v>8</v>
      </c>
      <c r="BH117">
        <v>5</v>
      </c>
      <c r="BI117" t="s">
        <v>497</v>
      </c>
      <c r="CG117" t="s">
        <v>14</v>
      </c>
      <c r="CH117" t="s">
        <v>100</v>
      </c>
      <c r="CI117">
        <v>52090</v>
      </c>
      <c r="CJ117" t="s">
        <v>497</v>
      </c>
    </row>
    <row r="118" spans="1:88" x14ac:dyDescent="0.25">
      <c r="A118" t="s">
        <v>29</v>
      </c>
      <c r="B118" t="s">
        <v>50</v>
      </c>
      <c r="C118" t="s">
        <v>133</v>
      </c>
      <c r="D118">
        <v>53135</v>
      </c>
      <c r="E118">
        <v>2</v>
      </c>
      <c r="F118" s="24" t="str">
        <f t="shared" si="27"/>
        <v>2023-10</v>
      </c>
      <c r="O118" t="s">
        <v>29</v>
      </c>
      <c r="P118" t="s">
        <v>135</v>
      </c>
      <c r="Q118">
        <v>7</v>
      </c>
      <c r="AA118">
        <v>53135</v>
      </c>
      <c r="AB118" t="s">
        <v>119</v>
      </c>
      <c r="AC118" t="s">
        <v>144</v>
      </c>
      <c r="AD118">
        <f t="shared" si="24"/>
        <v>4</v>
      </c>
      <c r="AE118">
        <f t="shared" si="25"/>
        <v>214710</v>
      </c>
      <c r="AG118" t="s">
        <v>29</v>
      </c>
      <c r="AH118" t="s">
        <v>135</v>
      </c>
      <c r="AI118" t="s">
        <v>213</v>
      </c>
      <c r="AJ118">
        <f t="shared" si="28"/>
        <v>4</v>
      </c>
      <c r="BF118" t="s">
        <v>135</v>
      </c>
      <c r="BG118" t="s">
        <v>29</v>
      </c>
      <c r="BH118">
        <v>7</v>
      </c>
      <c r="BI118" t="s">
        <v>497</v>
      </c>
      <c r="CG118" t="s">
        <v>29</v>
      </c>
      <c r="CH118" t="s">
        <v>50</v>
      </c>
      <c r="CI118">
        <v>53135</v>
      </c>
      <c r="CJ118" t="s">
        <v>497</v>
      </c>
    </row>
    <row r="119" spans="1:88" x14ac:dyDescent="0.25">
      <c r="A119" t="s">
        <v>16</v>
      </c>
      <c r="B119" t="s">
        <v>134</v>
      </c>
      <c r="C119" t="s">
        <v>133</v>
      </c>
      <c r="D119">
        <v>51566</v>
      </c>
      <c r="E119">
        <v>8</v>
      </c>
      <c r="F119" s="24" t="str">
        <f t="shared" si="27"/>
        <v>2023-10</v>
      </c>
      <c r="O119" t="s">
        <v>35</v>
      </c>
      <c r="P119" t="s">
        <v>52</v>
      </c>
      <c r="Q119">
        <v>9</v>
      </c>
      <c r="AA119">
        <v>51566</v>
      </c>
      <c r="AB119" t="s">
        <v>62</v>
      </c>
      <c r="AC119" t="s">
        <v>145</v>
      </c>
      <c r="AD119">
        <f t="shared" si="24"/>
        <v>4</v>
      </c>
      <c r="AE119">
        <f t="shared" si="25"/>
        <v>141487</v>
      </c>
      <c r="AG119" t="s">
        <v>35</v>
      </c>
      <c r="AH119" t="s">
        <v>52</v>
      </c>
      <c r="AI119" t="s">
        <v>225</v>
      </c>
      <c r="AJ119">
        <f t="shared" si="28"/>
        <v>4</v>
      </c>
      <c r="BF119" t="s">
        <v>52</v>
      </c>
      <c r="BG119" t="s">
        <v>35</v>
      </c>
      <c r="BH119">
        <v>9</v>
      </c>
      <c r="BI119" t="s">
        <v>497</v>
      </c>
      <c r="CG119" t="s">
        <v>16</v>
      </c>
      <c r="CH119" t="s">
        <v>134</v>
      </c>
      <c r="CI119">
        <v>51566</v>
      </c>
      <c r="CJ119" t="s">
        <v>497</v>
      </c>
    </row>
    <row r="120" spans="1:88" x14ac:dyDescent="0.25">
      <c r="A120" t="s">
        <v>8</v>
      </c>
      <c r="B120" t="s">
        <v>15</v>
      </c>
      <c r="C120" t="s">
        <v>133</v>
      </c>
      <c r="D120">
        <v>93216</v>
      </c>
      <c r="E120">
        <v>5</v>
      </c>
      <c r="F120" s="24" t="str">
        <f t="shared" si="27"/>
        <v>2023-10</v>
      </c>
      <c r="O120" t="s">
        <v>10</v>
      </c>
      <c r="P120" t="s">
        <v>137</v>
      </c>
      <c r="Q120">
        <v>6</v>
      </c>
      <c r="AA120">
        <v>93216</v>
      </c>
      <c r="AB120" t="s">
        <v>121</v>
      </c>
      <c r="AC120" t="s">
        <v>147</v>
      </c>
      <c r="AD120">
        <f t="shared" si="24"/>
        <v>4</v>
      </c>
      <c r="AE120">
        <f t="shared" si="25"/>
        <v>213564</v>
      </c>
      <c r="AG120" t="s">
        <v>10</v>
      </c>
      <c r="AH120" t="s">
        <v>137</v>
      </c>
      <c r="AI120" t="s">
        <v>234</v>
      </c>
      <c r="AJ120">
        <f t="shared" si="28"/>
        <v>4</v>
      </c>
      <c r="BF120" t="s">
        <v>137</v>
      </c>
      <c r="BG120" t="s">
        <v>10</v>
      </c>
      <c r="BH120">
        <v>6</v>
      </c>
      <c r="BI120" t="s">
        <v>497</v>
      </c>
      <c r="CG120" t="s">
        <v>8</v>
      </c>
      <c r="CH120" t="s">
        <v>15</v>
      </c>
      <c r="CI120">
        <v>93216</v>
      </c>
      <c r="CJ120" t="s">
        <v>497</v>
      </c>
    </row>
    <row r="121" spans="1:88" x14ac:dyDescent="0.25">
      <c r="A121" t="s">
        <v>29</v>
      </c>
      <c r="B121" t="s">
        <v>135</v>
      </c>
      <c r="C121" t="s">
        <v>136</v>
      </c>
      <c r="D121">
        <v>71897</v>
      </c>
      <c r="E121">
        <v>7</v>
      </c>
      <c r="F121" s="24" t="str">
        <f t="shared" si="27"/>
        <v>2023-10</v>
      </c>
      <c r="O121" t="s">
        <v>10</v>
      </c>
      <c r="P121" t="s">
        <v>138</v>
      </c>
      <c r="Q121">
        <v>8</v>
      </c>
      <c r="AA121">
        <v>71897</v>
      </c>
      <c r="AB121" t="s">
        <v>50</v>
      </c>
      <c r="AC121" t="s">
        <v>171</v>
      </c>
      <c r="AD121">
        <f t="shared" si="24"/>
        <v>4</v>
      </c>
      <c r="AE121">
        <f t="shared" si="25"/>
        <v>165658</v>
      </c>
      <c r="AG121" t="s">
        <v>10</v>
      </c>
      <c r="AH121" t="s">
        <v>138</v>
      </c>
      <c r="AI121" t="s">
        <v>247</v>
      </c>
      <c r="AJ121">
        <f t="shared" si="28"/>
        <v>4</v>
      </c>
      <c r="BF121" t="s">
        <v>138</v>
      </c>
      <c r="BG121" t="s">
        <v>10</v>
      </c>
      <c r="BH121">
        <v>8</v>
      </c>
      <c r="BI121" t="s">
        <v>497</v>
      </c>
      <c r="CG121" t="s">
        <v>29</v>
      </c>
      <c r="CH121" t="s">
        <v>135</v>
      </c>
      <c r="CI121">
        <v>71897</v>
      </c>
      <c r="CJ121" t="s">
        <v>497</v>
      </c>
    </row>
    <row r="122" spans="1:88" x14ac:dyDescent="0.25">
      <c r="A122" t="s">
        <v>35</v>
      </c>
      <c r="B122" t="s">
        <v>52</v>
      </c>
      <c r="C122" t="s">
        <v>136</v>
      </c>
      <c r="D122">
        <v>15984</v>
      </c>
      <c r="E122">
        <v>9</v>
      </c>
      <c r="F122" s="24" t="str">
        <f t="shared" si="27"/>
        <v>2023-10</v>
      </c>
      <c r="O122" t="s">
        <v>55</v>
      </c>
      <c r="P122" t="s">
        <v>61</v>
      </c>
      <c r="Q122">
        <v>7</v>
      </c>
      <c r="AA122">
        <v>15984</v>
      </c>
      <c r="AB122" t="s">
        <v>15</v>
      </c>
      <c r="AC122" t="s">
        <v>174</v>
      </c>
      <c r="AD122">
        <f t="shared" si="24"/>
        <v>4</v>
      </c>
      <c r="AE122">
        <f t="shared" si="25"/>
        <v>322344</v>
      </c>
      <c r="AG122" t="s">
        <v>55</v>
      </c>
      <c r="AH122" t="s">
        <v>61</v>
      </c>
      <c r="AI122" t="s">
        <v>284</v>
      </c>
      <c r="AJ122">
        <f t="shared" si="28"/>
        <v>4</v>
      </c>
      <c r="BF122" t="s">
        <v>61</v>
      </c>
      <c r="BG122" t="s">
        <v>55</v>
      </c>
      <c r="BH122">
        <v>7</v>
      </c>
      <c r="BI122" t="s">
        <v>497</v>
      </c>
      <c r="CG122" t="s">
        <v>35</v>
      </c>
      <c r="CH122" t="s">
        <v>52</v>
      </c>
      <c r="CI122">
        <v>15984</v>
      </c>
      <c r="CJ122" t="s">
        <v>497</v>
      </c>
    </row>
    <row r="123" spans="1:88" x14ac:dyDescent="0.25">
      <c r="A123" t="s">
        <v>10</v>
      </c>
      <c r="B123" t="s">
        <v>137</v>
      </c>
      <c r="C123" t="s">
        <v>136</v>
      </c>
      <c r="D123">
        <v>90231</v>
      </c>
      <c r="E123">
        <v>6</v>
      </c>
      <c r="F123" s="24" t="str">
        <f t="shared" si="27"/>
        <v>2023-10</v>
      </c>
      <c r="O123" t="s">
        <v>21</v>
      </c>
      <c r="P123" t="s">
        <v>139</v>
      </c>
      <c r="Q123">
        <v>5</v>
      </c>
      <c r="AA123">
        <v>90231</v>
      </c>
      <c r="AB123" t="s">
        <v>137</v>
      </c>
      <c r="AC123" t="s">
        <v>178</v>
      </c>
      <c r="AD123">
        <f t="shared" si="24"/>
        <v>4</v>
      </c>
      <c r="AE123">
        <f t="shared" si="25"/>
        <v>307311</v>
      </c>
      <c r="AG123" t="s">
        <v>21</v>
      </c>
      <c r="AH123" t="s">
        <v>139</v>
      </c>
      <c r="AI123" t="s">
        <v>297</v>
      </c>
      <c r="AJ123">
        <f t="shared" si="28"/>
        <v>4</v>
      </c>
      <c r="BF123" t="s">
        <v>139</v>
      </c>
      <c r="BG123" t="s">
        <v>21</v>
      </c>
      <c r="BH123">
        <v>5</v>
      </c>
      <c r="BI123" t="s">
        <v>497</v>
      </c>
      <c r="CG123" t="s">
        <v>10</v>
      </c>
      <c r="CH123" t="s">
        <v>137</v>
      </c>
      <c r="CI123">
        <v>90231</v>
      </c>
      <c r="CJ123" t="s">
        <v>497</v>
      </c>
    </row>
    <row r="124" spans="1:88" x14ac:dyDescent="0.25">
      <c r="A124" t="s">
        <v>10</v>
      </c>
      <c r="B124" t="s">
        <v>138</v>
      </c>
      <c r="C124" t="s">
        <v>136</v>
      </c>
      <c r="D124">
        <v>10207</v>
      </c>
      <c r="E124">
        <v>8</v>
      </c>
      <c r="F124" s="24" t="str">
        <f t="shared" si="27"/>
        <v>2023-10</v>
      </c>
      <c r="O124" t="s">
        <v>8</v>
      </c>
      <c r="P124" t="s">
        <v>65</v>
      </c>
      <c r="Q124">
        <v>5</v>
      </c>
      <c r="AA124">
        <v>10207</v>
      </c>
      <c r="AB124" t="s">
        <v>20</v>
      </c>
      <c r="AC124" t="s">
        <v>193</v>
      </c>
      <c r="AD124">
        <f t="shared" si="24"/>
        <v>4</v>
      </c>
      <c r="AE124">
        <f t="shared" si="25"/>
        <v>220035</v>
      </c>
      <c r="AG124" t="s">
        <v>8</v>
      </c>
      <c r="AH124" t="s">
        <v>65</v>
      </c>
      <c r="AI124" t="s">
        <v>301</v>
      </c>
      <c r="AJ124">
        <f t="shared" si="28"/>
        <v>4</v>
      </c>
      <c r="BF124" t="s">
        <v>65</v>
      </c>
      <c r="BG124" t="s">
        <v>8</v>
      </c>
      <c r="BH124">
        <v>5</v>
      </c>
      <c r="BI124" t="s">
        <v>497</v>
      </c>
      <c r="CG124" t="s">
        <v>10</v>
      </c>
      <c r="CH124" t="s">
        <v>138</v>
      </c>
      <c r="CI124">
        <v>10207</v>
      </c>
      <c r="CJ124" t="s">
        <v>497</v>
      </c>
    </row>
    <row r="125" spans="1:88" x14ac:dyDescent="0.25">
      <c r="A125" t="s">
        <v>55</v>
      </c>
      <c r="B125" t="s">
        <v>61</v>
      </c>
      <c r="C125" t="s">
        <v>136</v>
      </c>
      <c r="D125">
        <v>52038</v>
      </c>
      <c r="E125">
        <v>7</v>
      </c>
      <c r="F125" s="24" t="str">
        <f t="shared" si="27"/>
        <v>2023-10</v>
      </c>
      <c r="O125" t="s">
        <v>8</v>
      </c>
      <c r="P125" t="s">
        <v>19</v>
      </c>
      <c r="Q125">
        <v>5</v>
      </c>
      <c r="AA125">
        <v>52038</v>
      </c>
      <c r="AB125" t="s">
        <v>128</v>
      </c>
      <c r="AC125" t="s">
        <v>200</v>
      </c>
      <c r="AD125">
        <f t="shared" si="24"/>
        <v>4</v>
      </c>
      <c r="AE125">
        <f t="shared" si="25"/>
        <v>280817</v>
      </c>
      <c r="AG125" t="s">
        <v>8</v>
      </c>
      <c r="AH125" t="s">
        <v>19</v>
      </c>
      <c r="AI125" t="s">
        <v>347</v>
      </c>
      <c r="AJ125">
        <f t="shared" si="28"/>
        <v>4</v>
      </c>
      <c r="BF125" t="s">
        <v>19</v>
      </c>
      <c r="BG125" t="s">
        <v>8</v>
      </c>
      <c r="BH125">
        <v>5</v>
      </c>
      <c r="BI125" t="s">
        <v>497</v>
      </c>
      <c r="CG125" t="s">
        <v>55</v>
      </c>
      <c r="CH125" t="s">
        <v>61</v>
      </c>
      <c r="CI125">
        <v>52038</v>
      </c>
      <c r="CJ125" t="s">
        <v>497</v>
      </c>
    </row>
    <row r="126" spans="1:88" x14ac:dyDescent="0.25">
      <c r="A126" t="s">
        <v>21</v>
      </c>
      <c r="B126" t="s">
        <v>139</v>
      </c>
      <c r="C126" t="s">
        <v>140</v>
      </c>
      <c r="D126">
        <v>12052</v>
      </c>
      <c r="E126">
        <v>5</v>
      </c>
      <c r="F126" s="24" t="str">
        <f t="shared" si="27"/>
        <v>2023-10</v>
      </c>
      <c r="O126" t="s">
        <v>35</v>
      </c>
      <c r="P126" t="s">
        <v>141</v>
      </c>
      <c r="Q126">
        <v>10</v>
      </c>
      <c r="AA126">
        <v>12052</v>
      </c>
      <c r="AB126" t="s">
        <v>151</v>
      </c>
      <c r="AC126" t="s">
        <v>209</v>
      </c>
      <c r="AD126">
        <f t="shared" si="24"/>
        <v>4</v>
      </c>
      <c r="AE126">
        <f t="shared" si="25"/>
        <v>178978</v>
      </c>
      <c r="AG126" t="s">
        <v>35</v>
      </c>
      <c r="AH126" t="s">
        <v>141</v>
      </c>
      <c r="AI126" t="s">
        <v>353</v>
      </c>
      <c r="AJ126">
        <f t="shared" si="28"/>
        <v>4</v>
      </c>
      <c r="BF126" t="s">
        <v>141</v>
      </c>
      <c r="BG126" t="s">
        <v>35</v>
      </c>
      <c r="BH126">
        <v>10</v>
      </c>
      <c r="BI126" t="s">
        <v>497</v>
      </c>
      <c r="CG126" t="s">
        <v>21</v>
      </c>
      <c r="CH126" t="s">
        <v>139</v>
      </c>
      <c r="CI126">
        <v>12052</v>
      </c>
      <c r="CJ126" t="s">
        <v>497</v>
      </c>
    </row>
    <row r="127" spans="1:88" x14ac:dyDescent="0.25">
      <c r="A127" t="s">
        <v>8</v>
      </c>
      <c r="B127" t="s">
        <v>65</v>
      </c>
      <c r="C127" t="s">
        <v>140</v>
      </c>
      <c r="D127">
        <v>31635</v>
      </c>
      <c r="E127">
        <v>5</v>
      </c>
      <c r="F127" s="24" t="str">
        <f t="shared" si="27"/>
        <v>2023-10</v>
      </c>
      <c r="O127" t="s">
        <v>14</v>
      </c>
      <c r="P127" t="s">
        <v>83</v>
      </c>
      <c r="Q127">
        <v>7</v>
      </c>
      <c r="AA127">
        <v>31635</v>
      </c>
      <c r="AB127" t="s">
        <v>18</v>
      </c>
      <c r="AC127" t="s">
        <v>211</v>
      </c>
      <c r="AD127">
        <f t="shared" si="24"/>
        <v>4</v>
      </c>
      <c r="AE127">
        <f t="shared" si="25"/>
        <v>267710</v>
      </c>
      <c r="AG127" t="s">
        <v>14</v>
      </c>
      <c r="AH127" t="s">
        <v>83</v>
      </c>
      <c r="AI127" t="s">
        <v>370</v>
      </c>
      <c r="AJ127">
        <f t="shared" si="28"/>
        <v>4</v>
      </c>
      <c r="BF127" t="s">
        <v>83</v>
      </c>
      <c r="BG127" t="s">
        <v>14</v>
      </c>
      <c r="BH127">
        <v>7</v>
      </c>
      <c r="BI127" t="s">
        <v>497</v>
      </c>
      <c r="CG127" t="s">
        <v>8</v>
      </c>
      <c r="CH127" t="s">
        <v>65</v>
      </c>
      <c r="CI127">
        <v>31635</v>
      </c>
      <c r="CJ127" t="s">
        <v>497</v>
      </c>
    </row>
    <row r="128" spans="1:88" x14ac:dyDescent="0.25">
      <c r="A128" t="s">
        <v>8</v>
      </c>
      <c r="B128" t="s">
        <v>19</v>
      </c>
      <c r="C128" t="s">
        <v>140</v>
      </c>
      <c r="D128">
        <v>39740</v>
      </c>
      <c r="E128">
        <v>5</v>
      </c>
      <c r="F128" s="24" t="str">
        <f t="shared" si="27"/>
        <v>2023-10</v>
      </c>
      <c r="O128" t="s">
        <v>21</v>
      </c>
      <c r="P128" t="s">
        <v>142</v>
      </c>
      <c r="Q128">
        <v>8</v>
      </c>
      <c r="AA128">
        <v>39740</v>
      </c>
      <c r="AB128" t="s">
        <v>155</v>
      </c>
      <c r="AC128" t="s">
        <v>213</v>
      </c>
      <c r="AD128">
        <f t="shared" si="24"/>
        <v>4</v>
      </c>
      <c r="AE128">
        <f t="shared" si="25"/>
        <v>148694</v>
      </c>
      <c r="AG128" t="s">
        <v>21</v>
      </c>
      <c r="AH128" t="s">
        <v>142</v>
      </c>
      <c r="AI128" t="s">
        <v>11</v>
      </c>
      <c r="AJ128">
        <f t="shared" si="28"/>
        <v>5</v>
      </c>
      <c r="BF128" t="s">
        <v>142</v>
      </c>
      <c r="BG128" t="s">
        <v>21</v>
      </c>
      <c r="BH128">
        <v>8</v>
      </c>
      <c r="BI128" t="s">
        <v>497</v>
      </c>
      <c r="CG128" t="s">
        <v>8</v>
      </c>
      <c r="CH128" t="s">
        <v>19</v>
      </c>
      <c r="CI128">
        <v>39740</v>
      </c>
      <c r="CJ128" t="s">
        <v>497</v>
      </c>
    </row>
    <row r="129" spans="1:88" x14ac:dyDescent="0.25">
      <c r="A129" t="s">
        <v>35</v>
      </c>
      <c r="B129" t="s">
        <v>141</v>
      </c>
      <c r="C129" t="s">
        <v>140</v>
      </c>
      <c r="D129">
        <v>51971</v>
      </c>
      <c r="E129">
        <v>10</v>
      </c>
      <c r="F129" s="24" t="str">
        <f t="shared" si="27"/>
        <v>2023-10</v>
      </c>
      <c r="O129" t="s">
        <v>37</v>
      </c>
      <c r="P129" t="s">
        <v>143</v>
      </c>
      <c r="Q129">
        <v>2</v>
      </c>
      <c r="AA129">
        <v>51971</v>
      </c>
      <c r="AB129" t="s">
        <v>160</v>
      </c>
      <c r="AC129" t="s">
        <v>225</v>
      </c>
      <c r="AD129">
        <f t="shared" si="24"/>
        <v>4</v>
      </c>
      <c r="AE129">
        <f t="shared" si="25"/>
        <v>249540</v>
      </c>
      <c r="AG129" t="s">
        <v>37</v>
      </c>
      <c r="AH129" t="s">
        <v>143</v>
      </c>
      <c r="AI129" t="s">
        <v>19</v>
      </c>
      <c r="AJ129">
        <f t="shared" si="28"/>
        <v>5</v>
      </c>
      <c r="BF129" t="s">
        <v>143</v>
      </c>
      <c r="BG129" t="s">
        <v>37</v>
      </c>
      <c r="BH129">
        <v>2</v>
      </c>
      <c r="BI129" t="s">
        <v>497</v>
      </c>
      <c r="CG129" t="s">
        <v>35</v>
      </c>
      <c r="CH129" t="s">
        <v>141</v>
      </c>
      <c r="CI129">
        <v>51971</v>
      </c>
      <c r="CJ129" t="s">
        <v>497</v>
      </c>
    </row>
    <row r="130" spans="1:88" x14ac:dyDescent="0.25">
      <c r="A130" t="s">
        <v>14</v>
      </c>
      <c r="B130" t="s">
        <v>83</v>
      </c>
      <c r="C130" t="s">
        <v>140</v>
      </c>
      <c r="D130">
        <v>88290</v>
      </c>
      <c r="E130">
        <v>7</v>
      </c>
      <c r="F130" s="24" t="str">
        <f t="shared" si="27"/>
        <v>2023-10</v>
      </c>
      <c r="O130" t="s">
        <v>10</v>
      </c>
      <c r="P130" t="s">
        <v>15</v>
      </c>
      <c r="Q130">
        <v>5</v>
      </c>
      <c r="AA130">
        <v>88290</v>
      </c>
      <c r="AB130" t="s">
        <v>163</v>
      </c>
      <c r="AC130" t="s">
        <v>229</v>
      </c>
      <c r="AD130">
        <f t="shared" ref="AD130:AD193" si="29">COUNTIF(AB:AB,AC130)</f>
        <v>4</v>
      </c>
      <c r="AE130">
        <f t="shared" ref="AE130:AE193" si="30">SUMIF(AB:AB,AC130,AA:AA)</f>
        <v>225705</v>
      </c>
      <c r="AG130" t="s">
        <v>10</v>
      </c>
      <c r="AH130" t="s">
        <v>15</v>
      </c>
      <c r="AI130" t="s">
        <v>25</v>
      </c>
      <c r="AJ130">
        <f t="shared" ref="AJ130:AJ161" si="31">COUNTIF(AH:AH,AI130)</f>
        <v>5</v>
      </c>
      <c r="BF130" t="s">
        <v>15</v>
      </c>
      <c r="BG130" t="s">
        <v>10</v>
      </c>
      <c r="BH130">
        <v>5</v>
      </c>
      <c r="BI130" t="s">
        <v>497</v>
      </c>
      <c r="CG130" t="s">
        <v>14</v>
      </c>
      <c r="CH130" t="s">
        <v>83</v>
      </c>
      <c r="CI130">
        <v>88290</v>
      </c>
      <c r="CJ130" t="s">
        <v>497</v>
      </c>
    </row>
    <row r="131" spans="1:88" x14ac:dyDescent="0.25">
      <c r="A131" t="s">
        <v>21</v>
      </c>
      <c r="B131" t="s">
        <v>142</v>
      </c>
      <c r="C131" t="s">
        <v>140</v>
      </c>
      <c r="D131">
        <v>79440</v>
      </c>
      <c r="E131">
        <v>8</v>
      </c>
      <c r="F131" s="24" t="str">
        <f t="shared" ref="F131:F194" si="32">YEAR(C131)&amp;"-"&amp;MONTH(C131)</f>
        <v>2023-10</v>
      </c>
      <c r="O131" t="s">
        <v>53</v>
      </c>
      <c r="P131" t="s">
        <v>20</v>
      </c>
      <c r="Q131">
        <v>2</v>
      </c>
      <c r="AA131">
        <v>79440</v>
      </c>
      <c r="AB131" t="s">
        <v>101</v>
      </c>
      <c r="AC131" t="s">
        <v>247</v>
      </c>
      <c r="AD131">
        <f t="shared" si="29"/>
        <v>4</v>
      </c>
      <c r="AE131">
        <f t="shared" si="30"/>
        <v>168260</v>
      </c>
      <c r="AG131" t="s">
        <v>53</v>
      </c>
      <c r="AH131" t="s">
        <v>20</v>
      </c>
      <c r="AI131" t="s">
        <v>31</v>
      </c>
      <c r="AJ131">
        <f t="shared" si="31"/>
        <v>5</v>
      </c>
      <c r="BF131" t="s">
        <v>20</v>
      </c>
      <c r="BG131" t="s">
        <v>53</v>
      </c>
      <c r="BH131">
        <v>2</v>
      </c>
      <c r="BI131" t="s">
        <v>497</v>
      </c>
      <c r="CG131" t="s">
        <v>21</v>
      </c>
      <c r="CH131" t="s">
        <v>142</v>
      </c>
      <c r="CI131">
        <v>79440</v>
      </c>
      <c r="CJ131" t="s">
        <v>497</v>
      </c>
    </row>
    <row r="132" spans="1:88" x14ac:dyDescent="0.25">
      <c r="A132" t="s">
        <v>37</v>
      </c>
      <c r="B132" t="s">
        <v>143</v>
      </c>
      <c r="C132" t="s">
        <v>140</v>
      </c>
      <c r="D132">
        <v>17394</v>
      </c>
      <c r="E132">
        <v>2</v>
      </c>
      <c r="F132" s="24" t="str">
        <f t="shared" si="32"/>
        <v>2023-10</v>
      </c>
      <c r="O132" t="s">
        <v>21</v>
      </c>
      <c r="P132" t="s">
        <v>144</v>
      </c>
      <c r="Q132">
        <v>6</v>
      </c>
      <c r="AA132">
        <v>17394</v>
      </c>
      <c r="AB132" t="s">
        <v>12</v>
      </c>
      <c r="AC132" t="s">
        <v>249</v>
      </c>
      <c r="AD132">
        <f t="shared" si="29"/>
        <v>4</v>
      </c>
      <c r="AE132">
        <f t="shared" si="30"/>
        <v>244597</v>
      </c>
      <c r="AG132" t="s">
        <v>21</v>
      </c>
      <c r="AH132" t="s">
        <v>144</v>
      </c>
      <c r="AI132" t="s">
        <v>41</v>
      </c>
      <c r="AJ132">
        <f t="shared" si="31"/>
        <v>5</v>
      </c>
      <c r="BF132" t="s">
        <v>144</v>
      </c>
      <c r="BG132" t="s">
        <v>21</v>
      </c>
      <c r="BH132">
        <v>6</v>
      </c>
      <c r="BI132" t="s">
        <v>497</v>
      </c>
      <c r="CG132" t="s">
        <v>37</v>
      </c>
      <c r="CH132" t="s">
        <v>143</v>
      </c>
      <c r="CI132">
        <v>17394</v>
      </c>
      <c r="CJ132" t="s">
        <v>497</v>
      </c>
    </row>
    <row r="133" spans="1:88" x14ac:dyDescent="0.25">
      <c r="A133" t="s">
        <v>10</v>
      </c>
      <c r="B133" t="s">
        <v>15</v>
      </c>
      <c r="C133" t="s">
        <v>140</v>
      </c>
      <c r="D133">
        <v>80045</v>
      </c>
      <c r="E133">
        <v>5</v>
      </c>
      <c r="F133" s="24" t="str">
        <f t="shared" si="32"/>
        <v>2023-10</v>
      </c>
      <c r="O133" t="s">
        <v>21</v>
      </c>
      <c r="P133" t="s">
        <v>145</v>
      </c>
      <c r="Q133">
        <v>8</v>
      </c>
      <c r="AA133">
        <v>80045</v>
      </c>
      <c r="AB133" t="s">
        <v>54</v>
      </c>
      <c r="AC133" t="s">
        <v>251</v>
      </c>
      <c r="AD133">
        <f t="shared" si="29"/>
        <v>4</v>
      </c>
      <c r="AE133">
        <f t="shared" si="30"/>
        <v>172775</v>
      </c>
      <c r="AG133" t="s">
        <v>21</v>
      </c>
      <c r="AH133" t="s">
        <v>145</v>
      </c>
      <c r="AI133" t="s">
        <v>45</v>
      </c>
      <c r="AJ133">
        <f t="shared" si="31"/>
        <v>5</v>
      </c>
      <c r="BF133" t="s">
        <v>145</v>
      </c>
      <c r="BG133" t="s">
        <v>21</v>
      </c>
      <c r="BH133">
        <v>8</v>
      </c>
      <c r="BI133" t="s">
        <v>497</v>
      </c>
      <c r="CG133" t="s">
        <v>10</v>
      </c>
      <c r="CH133" t="s">
        <v>15</v>
      </c>
      <c r="CI133">
        <v>80045</v>
      </c>
      <c r="CJ133" t="s">
        <v>497</v>
      </c>
    </row>
    <row r="134" spans="1:88" x14ac:dyDescent="0.25">
      <c r="A134" t="s">
        <v>53</v>
      </c>
      <c r="B134" t="s">
        <v>20</v>
      </c>
      <c r="C134" t="s">
        <v>140</v>
      </c>
      <c r="D134">
        <v>50385</v>
      </c>
      <c r="E134">
        <v>2</v>
      </c>
      <c r="F134" s="24" t="str">
        <f t="shared" si="32"/>
        <v>2023-10</v>
      </c>
      <c r="O134" t="s">
        <v>16</v>
      </c>
      <c r="P134" t="s">
        <v>128</v>
      </c>
      <c r="Q134">
        <v>2</v>
      </c>
      <c r="AA134">
        <v>50385</v>
      </c>
      <c r="AB134" t="s">
        <v>36</v>
      </c>
      <c r="AC134" t="s">
        <v>297</v>
      </c>
      <c r="AD134">
        <f t="shared" si="29"/>
        <v>4</v>
      </c>
      <c r="AE134">
        <f t="shared" si="30"/>
        <v>140525</v>
      </c>
      <c r="AG134" t="s">
        <v>16</v>
      </c>
      <c r="AH134" t="s">
        <v>128</v>
      </c>
      <c r="AI134" t="s">
        <v>46</v>
      </c>
      <c r="AJ134">
        <f t="shared" si="31"/>
        <v>5</v>
      </c>
      <c r="BF134" t="s">
        <v>128</v>
      </c>
      <c r="BG134" t="s">
        <v>16</v>
      </c>
      <c r="BH134">
        <v>2</v>
      </c>
      <c r="BI134" t="s">
        <v>497</v>
      </c>
      <c r="CG134" t="s">
        <v>53</v>
      </c>
      <c r="CH134" t="s">
        <v>20</v>
      </c>
      <c r="CI134">
        <v>50385</v>
      </c>
      <c r="CJ134" t="s">
        <v>497</v>
      </c>
    </row>
    <row r="135" spans="1:88" x14ac:dyDescent="0.25">
      <c r="A135" t="s">
        <v>21</v>
      </c>
      <c r="B135" t="s">
        <v>144</v>
      </c>
      <c r="C135" t="s">
        <v>140</v>
      </c>
      <c r="D135">
        <v>81342</v>
      </c>
      <c r="E135">
        <v>6</v>
      </c>
      <c r="F135" s="24" t="str">
        <f t="shared" si="32"/>
        <v>2023-10</v>
      </c>
      <c r="O135" t="s">
        <v>75</v>
      </c>
      <c r="P135" t="s">
        <v>147</v>
      </c>
      <c r="Q135">
        <v>3</v>
      </c>
      <c r="AA135">
        <v>81342</v>
      </c>
      <c r="AB135" t="s">
        <v>178</v>
      </c>
      <c r="AC135" t="s">
        <v>301</v>
      </c>
      <c r="AD135">
        <f t="shared" si="29"/>
        <v>4</v>
      </c>
      <c r="AE135">
        <f t="shared" si="30"/>
        <v>280461</v>
      </c>
      <c r="AG135" t="s">
        <v>75</v>
      </c>
      <c r="AH135" t="s">
        <v>147</v>
      </c>
      <c r="AI135" t="s">
        <v>48</v>
      </c>
      <c r="AJ135">
        <f t="shared" si="31"/>
        <v>5</v>
      </c>
      <c r="BF135" t="s">
        <v>147</v>
      </c>
      <c r="BG135" t="s">
        <v>75</v>
      </c>
      <c r="BH135">
        <v>3</v>
      </c>
      <c r="BI135" t="s">
        <v>497</v>
      </c>
      <c r="CG135" t="s">
        <v>21</v>
      </c>
      <c r="CH135" t="s">
        <v>144</v>
      </c>
      <c r="CI135">
        <v>81342</v>
      </c>
      <c r="CJ135" t="s">
        <v>497</v>
      </c>
    </row>
    <row r="136" spans="1:88" x14ac:dyDescent="0.25">
      <c r="A136" t="s">
        <v>5</v>
      </c>
      <c r="B136" t="s">
        <v>73</v>
      </c>
      <c r="C136" t="s">
        <v>140</v>
      </c>
      <c r="D136">
        <v>33105</v>
      </c>
      <c r="E136">
        <v>3</v>
      </c>
      <c r="F136" s="24" t="str">
        <f t="shared" si="32"/>
        <v>2023-10</v>
      </c>
      <c r="O136" t="s">
        <v>14</v>
      </c>
      <c r="P136" t="s">
        <v>64</v>
      </c>
      <c r="Q136">
        <v>7</v>
      </c>
      <c r="AA136">
        <v>33105</v>
      </c>
      <c r="AB136" t="s">
        <v>187</v>
      </c>
      <c r="AC136" t="s">
        <v>353</v>
      </c>
      <c r="AD136">
        <f t="shared" si="29"/>
        <v>4</v>
      </c>
      <c r="AE136">
        <f t="shared" si="30"/>
        <v>204496</v>
      </c>
      <c r="AG136" t="s">
        <v>14</v>
      </c>
      <c r="AH136" t="s">
        <v>64</v>
      </c>
      <c r="AI136" t="s">
        <v>61</v>
      </c>
      <c r="AJ136">
        <f t="shared" si="31"/>
        <v>5</v>
      </c>
      <c r="BF136" t="s">
        <v>64</v>
      </c>
      <c r="BG136" t="s">
        <v>14</v>
      </c>
      <c r="BH136">
        <v>7</v>
      </c>
      <c r="BI136" t="s">
        <v>497</v>
      </c>
      <c r="CG136" t="s">
        <v>5</v>
      </c>
      <c r="CH136" t="s">
        <v>73</v>
      </c>
      <c r="CI136">
        <v>33105</v>
      </c>
      <c r="CJ136" t="s">
        <v>497</v>
      </c>
    </row>
    <row r="137" spans="1:88" x14ac:dyDescent="0.25">
      <c r="A137" t="s">
        <v>21</v>
      </c>
      <c r="B137" t="s">
        <v>145</v>
      </c>
      <c r="C137" t="s">
        <v>146</v>
      </c>
      <c r="D137">
        <v>53855</v>
      </c>
      <c r="E137">
        <v>8</v>
      </c>
      <c r="F137" s="24" t="str">
        <f t="shared" si="32"/>
        <v>2023-10</v>
      </c>
      <c r="O137" t="s">
        <v>55</v>
      </c>
      <c r="P137" t="s">
        <v>149</v>
      </c>
      <c r="Q137">
        <v>5</v>
      </c>
      <c r="AA137">
        <v>53855</v>
      </c>
      <c r="AB137" t="s">
        <v>20</v>
      </c>
      <c r="AC137" t="s">
        <v>30</v>
      </c>
      <c r="AD137">
        <f t="shared" si="29"/>
        <v>3</v>
      </c>
      <c r="AE137">
        <f t="shared" si="30"/>
        <v>96167</v>
      </c>
      <c r="AG137" t="s">
        <v>55</v>
      </c>
      <c r="AH137" t="s">
        <v>149</v>
      </c>
      <c r="AI137" t="s">
        <v>62</v>
      </c>
      <c r="AJ137">
        <f t="shared" si="31"/>
        <v>5</v>
      </c>
      <c r="BF137" t="s">
        <v>149</v>
      </c>
      <c r="BG137" t="s">
        <v>55</v>
      </c>
      <c r="BH137">
        <v>5</v>
      </c>
      <c r="BI137" t="s">
        <v>497</v>
      </c>
      <c r="CG137" t="s">
        <v>21</v>
      </c>
      <c r="CH137" t="s">
        <v>145</v>
      </c>
      <c r="CI137">
        <v>53855</v>
      </c>
      <c r="CJ137" t="s">
        <v>497</v>
      </c>
    </row>
    <row r="138" spans="1:88" x14ac:dyDescent="0.25">
      <c r="A138" t="s">
        <v>16</v>
      </c>
      <c r="B138" t="s">
        <v>128</v>
      </c>
      <c r="C138" t="s">
        <v>146</v>
      </c>
      <c r="D138">
        <v>13913</v>
      </c>
      <c r="E138">
        <v>2</v>
      </c>
      <c r="F138" s="24" t="str">
        <f t="shared" si="32"/>
        <v>2023-10</v>
      </c>
      <c r="O138" t="s">
        <v>53</v>
      </c>
      <c r="P138" t="s">
        <v>151</v>
      </c>
      <c r="Q138">
        <v>9</v>
      </c>
      <c r="AA138">
        <v>13913</v>
      </c>
      <c r="AB138" t="s">
        <v>33</v>
      </c>
      <c r="AC138" t="s">
        <v>34</v>
      </c>
      <c r="AD138">
        <f t="shared" si="29"/>
        <v>3</v>
      </c>
      <c r="AE138">
        <f t="shared" si="30"/>
        <v>176355</v>
      </c>
      <c r="AG138" t="s">
        <v>53</v>
      </c>
      <c r="AH138" t="s">
        <v>151</v>
      </c>
      <c r="AI138" t="s">
        <v>64</v>
      </c>
      <c r="AJ138">
        <f t="shared" si="31"/>
        <v>5</v>
      </c>
      <c r="BF138" t="s">
        <v>151</v>
      </c>
      <c r="BG138" t="s">
        <v>53</v>
      </c>
      <c r="BH138">
        <v>9</v>
      </c>
      <c r="BI138" t="s">
        <v>497</v>
      </c>
      <c r="CG138" t="s">
        <v>16</v>
      </c>
      <c r="CH138" t="s">
        <v>128</v>
      </c>
      <c r="CI138">
        <v>13913</v>
      </c>
      <c r="CJ138" t="s">
        <v>497</v>
      </c>
    </row>
    <row r="139" spans="1:88" x14ac:dyDescent="0.25">
      <c r="A139" t="s">
        <v>75</v>
      </c>
      <c r="B139" t="s">
        <v>147</v>
      </c>
      <c r="C139" t="s">
        <v>146</v>
      </c>
      <c r="D139">
        <v>47293</v>
      </c>
      <c r="E139">
        <v>3</v>
      </c>
      <c r="F139" s="24" t="str">
        <f t="shared" si="32"/>
        <v>2023-10</v>
      </c>
      <c r="O139" t="s">
        <v>29</v>
      </c>
      <c r="P139" t="s">
        <v>152</v>
      </c>
      <c r="Q139">
        <v>4</v>
      </c>
      <c r="AA139">
        <v>47293</v>
      </c>
      <c r="AB139" t="s">
        <v>43</v>
      </c>
      <c r="AC139" t="s">
        <v>44</v>
      </c>
      <c r="AD139">
        <f t="shared" si="29"/>
        <v>3</v>
      </c>
      <c r="AE139">
        <f t="shared" si="30"/>
        <v>158750</v>
      </c>
      <c r="AG139" t="s">
        <v>29</v>
      </c>
      <c r="AH139" t="s">
        <v>152</v>
      </c>
      <c r="AI139" t="s">
        <v>66</v>
      </c>
      <c r="AJ139">
        <f t="shared" si="31"/>
        <v>5</v>
      </c>
      <c r="BF139" t="s">
        <v>152</v>
      </c>
      <c r="BG139" t="s">
        <v>29</v>
      </c>
      <c r="BH139">
        <v>4</v>
      </c>
      <c r="BI139" t="s">
        <v>497</v>
      </c>
      <c r="CG139" t="s">
        <v>75</v>
      </c>
      <c r="CH139" t="s">
        <v>147</v>
      </c>
      <c r="CI139">
        <v>47293</v>
      </c>
      <c r="CJ139" t="s">
        <v>497</v>
      </c>
    </row>
    <row r="140" spans="1:88" x14ac:dyDescent="0.25">
      <c r="A140" t="s">
        <v>14</v>
      </c>
      <c r="B140" t="s">
        <v>64</v>
      </c>
      <c r="C140" t="s">
        <v>148</v>
      </c>
      <c r="D140">
        <v>83148</v>
      </c>
      <c r="E140">
        <v>7</v>
      </c>
      <c r="F140" s="24" t="str">
        <f t="shared" si="32"/>
        <v>2023-10</v>
      </c>
      <c r="O140" t="s">
        <v>21</v>
      </c>
      <c r="P140" t="s">
        <v>18</v>
      </c>
      <c r="Q140">
        <v>8</v>
      </c>
      <c r="AA140">
        <v>83148</v>
      </c>
      <c r="AB140" t="s">
        <v>52</v>
      </c>
      <c r="AC140" t="s">
        <v>54</v>
      </c>
      <c r="AD140">
        <f t="shared" si="29"/>
        <v>3</v>
      </c>
      <c r="AE140">
        <f t="shared" si="30"/>
        <v>154228</v>
      </c>
      <c r="AG140" t="s">
        <v>21</v>
      </c>
      <c r="AH140" t="s">
        <v>18</v>
      </c>
      <c r="AI140" t="s">
        <v>70</v>
      </c>
      <c r="AJ140">
        <f t="shared" si="31"/>
        <v>5</v>
      </c>
      <c r="BF140" t="s">
        <v>18</v>
      </c>
      <c r="BG140" t="s">
        <v>21</v>
      </c>
      <c r="BH140">
        <v>8</v>
      </c>
      <c r="BI140" t="s">
        <v>497</v>
      </c>
      <c r="CG140" t="s">
        <v>14</v>
      </c>
      <c r="CH140" t="s">
        <v>64</v>
      </c>
      <c r="CI140">
        <v>83148</v>
      </c>
      <c r="CJ140" t="s">
        <v>497</v>
      </c>
    </row>
    <row r="141" spans="1:88" x14ac:dyDescent="0.25">
      <c r="A141" t="s">
        <v>55</v>
      </c>
      <c r="B141" t="s">
        <v>149</v>
      </c>
      <c r="C141" t="s">
        <v>150</v>
      </c>
      <c r="D141">
        <v>16069</v>
      </c>
      <c r="E141">
        <v>5</v>
      </c>
      <c r="F141" s="24" t="str">
        <f t="shared" si="32"/>
        <v>2023-10</v>
      </c>
      <c r="O141" t="s">
        <v>53</v>
      </c>
      <c r="P141" t="s">
        <v>155</v>
      </c>
      <c r="Q141">
        <v>3</v>
      </c>
      <c r="AA141">
        <v>16069</v>
      </c>
      <c r="AB141" t="s">
        <v>62</v>
      </c>
      <c r="AC141" t="s">
        <v>68</v>
      </c>
      <c r="AD141">
        <f t="shared" si="29"/>
        <v>3</v>
      </c>
      <c r="AE141">
        <f t="shared" si="30"/>
        <v>184372</v>
      </c>
      <c r="AG141" t="s">
        <v>53</v>
      </c>
      <c r="AH141" t="s">
        <v>155</v>
      </c>
      <c r="AI141" t="s">
        <v>71</v>
      </c>
      <c r="AJ141">
        <f t="shared" si="31"/>
        <v>5</v>
      </c>
      <c r="BF141" t="s">
        <v>155</v>
      </c>
      <c r="BG141" t="s">
        <v>53</v>
      </c>
      <c r="BH141">
        <v>3</v>
      </c>
      <c r="BI141" t="s">
        <v>497</v>
      </c>
      <c r="CG141" t="s">
        <v>55</v>
      </c>
      <c r="CH141" t="s">
        <v>149</v>
      </c>
      <c r="CI141">
        <v>16069</v>
      </c>
      <c r="CJ141" t="s">
        <v>497</v>
      </c>
    </row>
    <row r="142" spans="1:88" x14ac:dyDescent="0.25">
      <c r="A142" t="s">
        <v>53</v>
      </c>
      <c r="B142" t="s">
        <v>151</v>
      </c>
      <c r="C142" t="s">
        <v>150</v>
      </c>
      <c r="D142">
        <v>22450</v>
      </c>
      <c r="E142">
        <v>9</v>
      </c>
      <c r="F142" s="24" t="str">
        <f t="shared" si="32"/>
        <v>2023-10</v>
      </c>
      <c r="O142" t="s">
        <v>5</v>
      </c>
      <c r="P142" t="s">
        <v>31</v>
      </c>
      <c r="Q142">
        <v>10</v>
      </c>
      <c r="AA142">
        <v>22450</v>
      </c>
      <c r="AB142" t="s">
        <v>66</v>
      </c>
      <c r="AC142" t="s">
        <v>72</v>
      </c>
      <c r="AD142">
        <f t="shared" si="29"/>
        <v>3</v>
      </c>
      <c r="AE142">
        <f t="shared" si="30"/>
        <v>56347</v>
      </c>
      <c r="AG142" t="s">
        <v>5</v>
      </c>
      <c r="AH142" t="s">
        <v>31</v>
      </c>
      <c r="AI142" t="s">
        <v>79</v>
      </c>
      <c r="AJ142">
        <f t="shared" si="31"/>
        <v>5</v>
      </c>
      <c r="BF142" t="s">
        <v>31</v>
      </c>
      <c r="BG142" t="s">
        <v>5</v>
      </c>
      <c r="BH142">
        <v>10</v>
      </c>
      <c r="BI142" t="s">
        <v>497</v>
      </c>
      <c r="CG142" t="s">
        <v>53</v>
      </c>
      <c r="CH142" t="s">
        <v>151</v>
      </c>
      <c r="CI142">
        <v>22450</v>
      </c>
      <c r="CJ142" t="s">
        <v>497</v>
      </c>
    </row>
    <row r="143" spans="1:88" x14ac:dyDescent="0.25">
      <c r="A143" t="s">
        <v>29</v>
      </c>
      <c r="B143" t="s">
        <v>152</v>
      </c>
      <c r="C143" t="s">
        <v>153</v>
      </c>
      <c r="D143">
        <v>67585</v>
      </c>
      <c r="E143">
        <v>4</v>
      </c>
      <c r="F143" s="24" t="str">
        <f t="shared" si="32"/>
        <v>2023-10</v>
      </c>
      <c r="O143" t="s">
        <v>14</v>
      </c>
      <c r="P143" t="s">
        <v>156</v>
      </c>
      <c r="Q143">
        <v>8</v>
      </c>
      <c r="AA143">
        <v>67585</v>
      </c>
      <c r="AB143" t="s">
        <v>69</v>
      </c>
      <c r="AC143" t="s">
        <v>78</v>
      </c>
      <c r="AD143">
        <f t="shared" si="29"/>
        <v>3</v>
      </c>
      <c r="AE143">
        <f t="shared" si="30"/>
        <v>173809</v>
      </c>
      <c r="AG143" t="s">
        <v>14</v>
      </c>
      <c r="AH143" t="s">
        <v>156</v>
      </c>
      <c r="AI143" t="s">
        <v>83</v>
      </c>
      <c r="AJ143">
        <f t="shared" si="31"/>
        <v>5</v>
      </c>
      <c r="BF143" t="s">
        <v>156</v>
      </c>
      <c r="BG143" t="s">
        <v>14</v>
      </c>
      <c r="BH143">
        <v>8</v>
      </c>
      <c r="BI143" t="s">
        <v>497</v>
      </c>
      <c r="CG143" t="s">
        <v>29</v>
      </c>
      <c r="CH143" t="s">
        <v>152</v>
      </c>
      <c r="CI143">
        <v>67585</v>
      </c>
      <c r="CJ143" t="s">
        <v>497</v>
      </c>
    </row>
    <row r="144" spans="1:88" x14ac:dyDescent="0.25">
      <c r="A144" t="s">
        <v>21</v>
      </c>
      <c r="B144" t="s">
        <v>18</v>
      </c>
      <c r="C144" t="s">
        <v>154</v>
      </c>
      <c r="D144">
        <v>46097</v>
      </c>
      <c r="E144">
        <v>8</v>
      </c>
      <c r="F144" s="24" t="str">
        <f t="shared" si="32"/>
        <v>2023-10</v>
      </c>
      <c r="O144" t="s">
        <v>5</v>
      </c>
      <c r="P144" t="s">
        <v>11</v>
      </c>
      <c r="Q144">
        <v>7</v>
      </c>
      <c r="AA144">
        <v>46097</v>
      </c>
      <c r="AB144" t="s">
        <v>38</v>
      </c>
      <c r="AC144" t="s">
        <v>91</v>
      </c>
      <c r="AD144">
        <f t="shared" si="29"/>
        <v>3</v>
      </c>
      <c r="AE144">
        <f t="shared" si="30"/>
        <v>193562</v>
      </c>
      <c r="AG144" t="s">
        <v>5</v>
      </c>
      <c r="AH144" t="s">
        <v>11</v>
      </c>
      <c r="AI144" t="s">
        <v>90</v>
      </c>
      <c r="AJ144">
        <f t="shared" si="31"/>
        <v>5</v>
      </c>
      <c r="BF144" t="s">
        <v>11</v>
      </c>
      <c r="BG144" t="s">
        <v>5</v>
      </c>
      <c r="BH144">
        <v>7</v>
      </c>
      <c r="BI144" t="s">
        <v>497</v>
      </c>
      <c r="CG144" t="s">
        <v>21</v>
      </c>
      <c r="CH144" t="s">
        <v>18</v>
      </c>
      <c r="CI144">
        <v>46097</v>
      </c>
      <c r="CJ144" t="s">
        <v>497</v>
      </c>
    </row>
    <row r="145" spans="1:88" x14ac:dyDescent="0.25">
      <c r="A145" t="s">
        <v>53</v>
      </c>
      <c r="B145" t="s">
        <v>155</v>
      </c>
      <c r="C145" t="s">
        <v>154</v>
      </c>
      <c r="D145">
        <v>81741</v>
      </c>
      <c r="E145">
        <v>3</v>
      </c>
      <c r="F145" s="24" t="str">
        <f t="shared" si="32"/>
        <v>2023-10</v>
      </c>
      <c r="O145" t="s">
        <v>10</v>
      </c>
      <c r="P145" t="s">
        <v>158</v>
      </c>
      <c r="Q145">
        <v>7</v>
      </c>
      <c r="AA145">
        <v>81741</v>
      </c>
      <c r="AB145" t="s">
        <v>90</v>
      </c>
      <c r="AC145" t="s">
        <v>106</v>
      </c>
      <c r="AD145">
        <f t="shared" si="29"/>
        <v>3</v>
      </c>
      <c r="AE145">
        <f t="shared" si="30"/>
        <v>187215</v>
      </c>
      <c r="AG145" t="s">
        <v>10</v>
      </c>
      <c r="AH145" t="s">
        <v>158</v>
      </c>
      <c r="AI145" t="s">
        <v>92</v>
      </c>
      <c r="AJ145">
        <f t="shared" si="31"/>
        <v>5</v>
      </c>
      <c r="BF145" t="s">
        <v>158</v>
      </c>
      <c r="BG145" t="s">
        <v>10</v>
      </c>
      <c r="BH145">
        <v>7</v>
      </c>
      <c r="BI145" t="s">
        <v>497</v>
      </c>
      <c r="CG145" t="s">
        <v>53</v>
      </c>
      <c r="CH145" t="s">
        <v>155</v>
      </c>
      <c r="CI145">
        <v>81741</v>
      </c>
      <c r="CJ145" t="s">
        <v>497</v>
      </c>
    </row>
    <row r="146" spans="1:88" x14ac:dyDescent="0.25">
      <c r="A146" t="s">
        <v>5</v>
      </c>
      <c r="B146" t="s">
        <v>31</v>
      </c>
      <c r="C146" t="s">
        <v>154</v>
      </c>
      <c r="D146">
        <v>58644</v>
      </c>
      <c r="E146">
        <v>10</v>
      </c>
      <c r="F146" s="24" t="str">
        <f t="shared" si="32"/>
        <v>2023-10</v>
      </c>
      <c r="O146" t="s">
        <v>55</v>
      </c>
      <c r="P146" t="s">
        <v>159</v>
      </c>
      <c r="Q146">
        <v>8</v>
      </c>
      <c r="AA146">
        <v>58644</v>
      </c>
      <c r="AB146" t="s">
        <v>50</v>
      </c>
      <c r="AC146" t="s">
        <v>143</v>
      </c>
      <c r="AD146">
        <f t="shared" si="29"/>
        <v>3</v>
      </c>
      <c r="AE146">
        <f t="shared" si="30"/>
        <v>165814</v>
      </c>
      <c r="AG146" t="s">
        <v>55</v>
      </c>
      <c r="AH146" t="s">
        <v>159</v>
      </c>
      <c r="AI146" t="s">
        <v>111</v>
      </c>
      <c r="AJ146">
        <f t="shared" si="31"/>
        <v>5</v>
      </c>
      <c r="BF146" t="s">
        <v>159</v>
      </c>
      <c r="BG146" t="s">
        <v>55</v>
      </c>
      <c r="BH146">
        <v>8</v>
      </c>
      <c r="BI146" t="s">
        <v>497</v>
      </c>
      <c r="CG146" t="s">
        <v>5</v>
      </c>
      <c r="CH146" t="s">
        <v>31</v>
      </c>
      <c r="CI146">
        <v>58644</v>
      </c>
      <c r="CJ146" t="s">
        <v>497</v>
      </c>
    </row>
    <row r="147" spans="1:88" x14ac:dyDescent="0.25">
      <c r="A147" t="s">
        <v>14</v>
      </c>
      <c r="B147" t="s">
        <v>156</v>
      </c>
      <c r="C147" t="s">
        <v>154</v>
      </c>
      <c r="D147">
        <v>47215</v>
      </c>
      <c r="E147">
        <v>8</v>
      </c>
      <c r="F147" s="24" t="str">
        <f t="shared" si="32"/>
        <v>2023-10</v>
      </c>
      <c r="O147" t="s">
        <v>10</v>
      </c>
      <c r="P147" t="s">
        <v>160</v>
      </c>
      <c r="Q147">
        <v>8</v>
      </c>
      <c r="AA147">
        <v>47215</v>
      </c>
      <c r="AB147" t="s">
        <v>11</v>
      </c>
      <c r="AC147" t="s">
        <v>158</v>
      </c>
      <c r="AD147">
        <f t="shared" si="29"/>
        <v>3</v>
      </c>
      <c r="AE147">
        <f t="shared" si="30"/>
        <v>119532</v>
      </c>
      <c r="AG147" t="s">
        <v>10</v>
      </c>
      <c r="AH147" t="s">
        <v>160</v>
      </c>
      <c r="AI147" t="s">
        <v>112</v>
      </c>
      <c r="AJ147">
        <f t="shared" si="31"/>
        <v>5</v>
      </c>
      <c r="BF147" t="s">
        <v>160</v>
      </c>
      <c r="BG147" t="s">
        <v>10</v>
      </c>
      <c r="BH147">
        <v>8</v>
      </c>
      <c r="BI147" t="s">
        <v>497</v>
      </c>
      <c r="CG147" t="s">
        <v>14</v>
      </c>
      <c r="CH147" t="s">
        <v>156</v>
      </c>
      <c r="CI147">
        <v>47215</v>
      </c>
      <c r="CJ147" t="s">
        <v>497</v>
      </c>
    </row>
    <row r="148" spans="1:88" x14ac:dyDescent="0.25">
      <c r="A148" t="s">
        <v>5</v>
      </c>
      <c r="B148" t="s">
        <v>11</v>
      </c>
      <c r="C148" t="s">
        <v>157</v>
      </c>
      <c r="D148">
        <v>62149</v>
      </c>
      <c r="E148">
        <v>7</v>
      </c>
      <c r="F148" s="24" t="str">
        <f t="shared" si="32"/>
        <v>2023-10</v>
      </c>
      <c r="O148" t="s">
        <v>21</v>
      </c>
      <c r="P148" t="s">
        <v>161</v>
      </c>
      <c r="Q148">
        <v>5</v>
      </c>
      <c r="AA148">
        <v>62149</v>
      </c>
      <c r="AB148" t="s">
        <v>132</v>
      </c>
      <c r="AC148" t="s">
        <v>169</v>
      </c>
      <c r="AD148">
        <f t="shared" si="29"/>
        <v>3</v>
      </c>
      <c r="AE148">
        <f t="shared" si="30"/>
        <v>194453</v>
      </c>
      <c r="AG148" t="s">
        <v>21</v>
      </c>
      <c r="AH148" t="s">
        <v>161</v>
      </c>
      <c r="AI148" t="s">
        <v>116</v>
      </c>
      <c r="AJ148">
        <f t="shared" si="31"/>
        <v>5</v>
      </c>
      <c r="BF148" t="s">
        <v>161</v>
      </c>
      <c r="BG148" t="s">
        <v>21</v>
      </c>
      <c r="BH148">
        <v>5</v>
      </c>
      <c r="BI148" t="s">
        <v>497</v>
      </c>
      <c r="CG148" t="s">
        <v>5</v>
      </c>
      <c r="CH148" t="s">
        <v>11</v>
      </c>
      <c r="CI148">
        <v>62149</v>
      </c>
      <c r="CJ148" t="s">
        <v>497</v>
      </c>
    </row>
    <row r="149" spans="1:88" x14ac:dyDescent="0.25">
      <c r="A149" t="s">
        <v>10</v>
      </c>
      <c r="B149" t="s">
        <v>158</v>
      </c>
      <c r="C149" t="s">
        <v>157</v>
      </c>
      <c r="D149">
        <v>11563</v>
      </c>
      <c r="E149">
        <v>7</v>
      </c>
      <c r="F149" s="24" t="str">
        <f t="shared" si="32"/>
        <v>2023-10</v>
      </c>
      <c r="O149" t="s">
        <v>75</v>
      </c>
      <c r="P149" t="s">
        <v>163</v>
      </c>
      <c r="Q149">
        <v>5</v>
      </c>
      <c r="AA149">
        <v>11563</v>
      </c>
      <c r="AB149" t="s">
        <v>139</v>
      </c>
      <c r="AC149" t="s">
        <v>181</v>
      </c>
      <c r="AD149">
        <f t="shared" si="29"/>
        <v>3</v>
      </c>
      <c r="AE149">
        <f t="shared" si="30"/>
        <v>214790</v>
      </c>
      <c r="AG149" t="s">
        <v>75</v>
      </c>
      <c r="AH149" t="s">
        <v>163</v>
      </c>
      <c r="AI149" t="s">
        <v>118</v>
      </c>
      <c r="AJ149">
        <f t="shared" si="31"/>
        <v>5</v>
      </c>
      <c r="BF149" t="s">
        <v>163</v>
      </c>
      <c r="BG149" t="s">
        <v>75</v>
      </c>
      <c r="BH149">
        <v>5</v>
      </c>
      <c r="BI149" t="s">
        <v>497</v>
      </c>
      <c r="CG149" t="s">
        <v>10</v>
      </c>
      <c r="CH149" t="s">
        <v>158</v>
      </c>
      <c r="CI149">
        <v>11563</v>
      </c>
      <c r="CJ149" t="s">
        <v>497</v>
      </c>
    </row>
    <row r="150" spans="1:88" x14ac:dyDescent="0.25">
      <c r="A150" t="s">
        <v>55</v>
      </c>
      <c r="B150" t="s">
        <v>159</v>
      </c>
      <c r="C150" t="s">
        <v>157</v>
      </c>
      <c r="D150">
        <v>46958</v>
      </c>
      <c r="E150">
        <v>8</v>
      </c>
      <c r="F150" s="24" t="str">
        <f t="shared" si="32"/>
        <v>2023-10</v>
      </c>
      <c r="O150" t="s">
        <v>21</v>
      </c>
      <c r="P150" t="s">
        <v>164</v>
      </c>
      <c r="Q150">
        <v>5</v>
      </c>
      <c r="AA150">
        <v>46958</v>
      </c>
      <c r="AB150" t="s">
        <v>65</v>
      </c>
      <c r="AC150" t="s">
        <v>183</v>
      </c>
      <c r="AD150">
        <f t="shared" si="29"/>
        <v>3</v>
      </c>
      <c r="AE150">
        <f t="shared" si="30"/>
        <v>214464</v>
      </c>
      <c r="AG150" t="s">
        <v>21</v>
      </c>
      <c r="AH150" t="s">
        <v>164</v>
      </c>
      <c r="AI150" t="s">
        <v>121</v>
      </c>
      <c r="AJ150">
        <f t="shared" si="31"/>
        <v>5</v>
      </c>
      <c r="BF150" t="s">
        <v>164</v>
      </c>
      <c r="BG150" t="s">
        <v>21</v>
      </c>
      <c r="BH150">
        <v>5</v>
      </c>
      <c r="BI150" t="s">
        <v>497</v>
      </c>
      <c r="CG150" t="s">
        <v>55</v>
      </c>
      <c r="CH150" t="s">
        <v>159</v>
      </c>
      <c r="CI150">
        <v>46958</v>
      </c>
      <c r="CJ150" t="s">
        <v>497</v>
      </c>
    </row>
    <row r="151" spans="1:88" x14ac:dyDescent="0.25">
      <c r="A151" t="s">
        <v>10</v>
      </c>
      <c r="B151" t="s">
        <v>160</v>
      </c>
      <c r="C151" t="s">
        <v>157</v>
      </c>
      <c r="D151">
        <v>34009</v>
      </c>
      <c r="E151">
        <v>8</v>
      </c>
      <c r="F151" s="24" t="str">
        <f t="shared" si="32"/>
        <v>2023-10</v>
      </c>
      <c r="O151" t="s">
        <v>53</v>
      </c>
      <c r="P151" t="s">
        <v>52</v>
      </c>
      <c r="Q151">
        <v>4</v>
      </c>
      <c r="AA151">
        <v>34009</v>
      </c>
      <c r="AB151" t="s">
        <v>142</v>
      </c>
      <c r="AC151" t="s">
        <v>189</v>
      </c>
      <c r="AD151">
        <f t="shared" si="29"/>
        <v>3</v>
      </c>
      <c r="AE151">
        <f t="shared" si="30"/>
        <v>182432</v>
      </c>
      <c r="AG151" t="s">
        <v>53</v>
      </c>
      <c r="AH151" t="s">
        <v>52</v>
      </c>
      <c r="AI151" t="s">
        <v>122</v>
      </c>
      <c r="AJ151">
        <f t="shared" si="31"/>
        <v>5</v>
      </c>
      <c r="BF151" t="s">
        <v>52</v>
      </c>
      <c r="BG151" t="s">
        <v>53</v>
      </c>
      <c r="BH151">
        <v>4</v>
      </c>
      <c r="BI151" t="s">
        <v>497</v>
      </c>
      <c r="CG151" t="s">
        <v>10</v>
      </c>
      <c r="CH151" t="s">
        <v>160</v>
      </c>
      <c r="CI151">
        <v>34009</v>
      </c>
      <c r="CJ151" t="s">
        <v>497</v>
      </c>
    </row>
    <row r="152" spans="1:88" x14ac:dyDescent="0.25">
      <c r="A152" t="s">
        <v>21</v>
      </c>
      <c r="B152" t="s">
        <v>161</v>
      </c>
      <c r="C152" t="s">
        <v>162</v>
      </c>
      <c r="D152">
        <v>40523</v>
      </c>
      <c r="E152">
        <v>5</v>
      </c>
      <c r="F152" s="24" t="str">
        <f t="shared" si="32"/>
        <v>2023-10</v>
      </c>
      <c r="O152" t="s">
        <v>10</v>
      </c>
      <c r="P152" t="s">
        <v>166</v>
      </c>
      <c r="Q152">
        <v>7</v>
      </c>
      <c r="AA152">
        <v>40523</v>
      </c>
      <c r="AB152" t="s">
        <v>147</v>
      </c>
      <c r="AC152" t="s">
        <v>202</v>
      </c>
      <c r="AD152">
        <f t="shared" si="29"/>
        <v>3</v>
      </c>
      <c r="AE152">
        <f t="shared" si="30"/>
        <v>252256</v>
      </c>
      <c r="AG152" t="s">
        <v>10</v>
      </c>
      <c r="AH152" t="s">
        <v>166</v>
      </c>
      <c r="AI152" t="s">
        <v>125</v>
      </c>
      <c r="AJ152">
        <f t="shared" si="31"/>
        <v>5</v>
      </c>
      <c r="BF152" t="s">
        <v>166</v>
      </c>
      <c r="BG152" t="s">
        <v>10</v>
      </c>
      <c r="BH152">
        <v>7</v>
      </c>
      <c r="BI152" t="s">
        <v>497</v>
      </c>
      <c r="CG152" t="s">
        <v>21</v>
      </c>
      <c r="CH152" t="s">
        <v>161</v>
      </c>
      <c r="CI152">
        <v>40523</v>
      </c>
      <c r="CJ152" t="s">
        <v>497</v>
      </c>
    </row>
    <row r="153" spans="1:88" x14ac:dyDescent="0.25">
      <c r="A153" t="s">
        <v>75</v>
      </c>
      <c r="B153" t="s">
        <v>163</v>
      </c>
      <c r="C153" t="s">
        <v>162</v>
      </c>
      <c r="D153">
        <v>57515</v>
      </c>
      <c r="E153">
        <v>5</v>
      </c>
      <c r="F153" s="24" t="str">
        <f t="shared" si="32"/>
        <v>2023-10</v>
      </c>
      <c r="O153" t="s">
        <v>16</v>
      </c>
      <c r="P153" t="s">
        <v>52</v>
      </c>
      <c r="Q153">
        <v>10</v>
      </c>
      <c r="AA153">
        <v>57515</v>
      </c>
      <c r="AB153" t="s">
        <v>152</v>
      </c>
      <c r="AC153" t="s">
        <v>210</v>
      </c>
      <c r="AD153">
        <f t="shared" si="29"/>
        <v>3</v>
      </c>
      <c r="AE153">
        <f t="shared" si="30"/>
        <v>232645</v>
      </c>
      <c r="AG153" t="s">
        <v>16</v>
      </c>
      <c r="AH153" t="s">
        <v>52</v>
      </c>
      <c r="AI153" t="s">
        <v>127</v>
      </c>
      <c r="AJ153">
        <f t="shared" si="31"/>
        <v>5</v>
      </c>
      <c r="BF153" t="s">
        <v>52</v>
      </c>
      <c r="BG153" t="s">
        <v>16</v>
      </c>
      <c r="BH153">
        <v>10</v>
      </c>
      <c r="BI153" t="s">
        <v>497</v>
      </c>
      <c r="CG153" t="s">
        <v>75</v>
      </c>
      <c r="CH153" t="s">
        <v>163</v>
      </c>
      <c r="CI153">
        <v>57515</v>
      </c>
      <c r="CJ153" t="s">
        <v>497</v>
      </c>
    </row>
    <row r="154" spans="1:88" x14ac:dyDescent="0.25">
      <c r="A154" t="s">
        <v>21</v>
      </c>
      <c r="B154" t="s">
        <v>164</v>
      </c>
      <c r="C154" t="s">
        <v>162</v>
      </c>
      <c r="D154">
        <v>78577</v>
      </c>
      <c r="E154">
        <v>5</v>
      </c>
      <c r="F154" s="24" t="str">
        <f t="shared" si="32"/>
        <v>2023-10</v>
      </c>
      <c r="O154" t="s">
        <v>55</v>
      </c>
      <c r="P154" t="s">
        <v>18</v>
      </c>
      <c r="Q154">
        <v>5</v>
      </c>
      <c r="AA154">
        <v>78577</v>
      </c>
      <c r="AB154" t="s">
        <v>26</v>
      </c>
      <c r="AC154" t="s">
        <v>244</v>
      </c>
      <c r="AD154">
        <f t="shared" si="29"/>
        <v>3</v>
      </c>
      <c r="AE154">
        <f t="shared" si="30"/>
        <v>112772</v>
      </c>
      <c r="AG154" t="s">
        <v>55</v>
      </c>
      <c r="AH154" t="s">
        <v>18</v>
      </c>
      <c r="AI154" t="s">
        <v>138</v>
      </c>
      <c r="AJ154">
        <f t="shared" si="31"/>
        <v>5</v>
      </c>
      <c r="BF154" t="s">
        <v>18</v>
      </c>
      <c r="BG154" t="s">
        <v>55</v>
      </c>
      <c r="BH154">
        <v>5</v>
      </c>
      <c r="BI154" t="s">
        <v>497</v>
      </c>
      <c r="CG154" t="s">
        <v>21</v>
      </c>
      <c r="CH154" t="s">
        <v>164</v>
      </c>
      <c r="CI154">
        <v>78577</v>
      </c>
      <c r="CJ154" t="s">
        <v>497</v>
      </c>
    </row>
    <row r="155" spans="1:88" x14ac:dyDescent="0.25">
      <c r="A155" t="s">
        <v>53</v>
      </c>
      <c r="B155" t="s">
        <v>52</v>
      </c>
      <c r="C155" t="s">
        <v>165</v>
      </c>
      <c r="D155">
        <v>50954</v>
      </c>
      <c r="E155">
        <v>4</v>
      </c>
      <c r="F155" s="24" t="str">
        <f t="shared" si="32"/>
        <v>2023-10</v>
      </c>
      <c r="O155" t="s">
        <v>53</v>
      </c>
      <c r="P155" t="s">
        <v>82</v>
      </c>
      <c r="Q155">
        <v>3</v>
      </c>
      <c r="AA155">
        <v>50954</v>
      </c>
      <c r="AB155" t="s">
        <v>169</v>
      </c>
      <c r="AC155" t="s">
        <v>253</v>
      </c>
      <c r="AD155">
        <f t="shared" si="29"/>
        <v>3</v>
      </c>
      <c r="AE155">
        <f t="shared" si="30"/>
        <v>223924</v>
      </c>
      <c r="AG155" t="s">
        <v>53</v>
      </c>
      <c r="AH155" t="s">
        <v>82</v>
      </c>
      <c r="AI155" t="s">
        <v>139</v>
      </c>
      <c r="AJ155">
        <f t="shared" si="31"/>
        <v>5</v>
      </c>
      <c r="BF155" t="s">
        <v>82</v>
      </c>
      <c r="BG155" t="s">
        <v>53</v>
      </c>
      <c r="BH155">
        <v>3</v>
      </c>
      <c r="BI155" t="s">
        <v>497</v>
      </c>
      <c r="CG155" t="s">
        <v>53</v>
      </c>
      <c r="CH155" t="s">
        <v>52</v>
      </c>
      <c r="CI155">
        <v>50954</v>
      </c>
      <c r="CJ155" t="s">
        <v>497</v>
      </c>
    </row>
    <row r="156" spans="1:88" x14ac:dyDescent="0.25">
      <c r="A156" t="s">
        <v>10</v>
      </c>
      <c r="B156" t="s">
        <v>166</v>
      </c>
      <c r="C156" t="s">
        <v>167</v>
      </c>
      <c r="D156">
        <v>14937</v>
      </c>
      <c r="E156">
        <v>7</v>
      </c>
      <c r="F156" s="24" t="str">
        <f t="shared" si="32"/>
        <v>2023-10</v>
      </c>
      <c r="O156" t="s">
        <v>29</v>
      </c>
      <c r="P156" t="s">
        <v>26</v>
      </c>
      <c r="Q156">
        <v>6</v>
      </c>
      <c r="AA156">
        <v>14937</v>
      </c>
      <c r="AB156" t="s">
        <v>51</v>
      </c>
      <c r="AC156" t="s">
        <v>263</v>
      </c>
      <c r="AD156">
        <f t="shared" si="29"/>
        <v>3</v>
      </c>
      <c r="AE156">
        <f t="shared" si="30"/>
        <v>125061</v>
      </c>
      <c r="AG156" t="s">
        <v>29</v>
      </c>
      <c r="AH156" t="s">
        <v>26</v>
      </c>
      <c r="AI156" t="s">
        <v>151</v>
      </c>
      <c r="AJ156">
        <f t="shared" si="31"/>
        <v>5</v>
      </c>
      <c r="BF156" t="s">
        <v>26</v>
      </c>
      <c r="BG156" t="s">
        <v>29</v>
      </c>
      <c r="BH156">
        <v>6</v>
      </c>
      <c r="BI156" t="s">
        <v>497</v>
      </c>
      <c r="CG156" t="s">
        <v>10</v>
      </c>
      <c r="CH156" t="s">
        <v>166</v>
      </c>
      <c r="CI156">
        <v>14937</v>
      </c>
      <c r="CJ156" t="s">
        <v>497</v>
      </c>
    </row>
    <row r="157" spans="1:88" x14ac:dyDescent="0.25">
      <c r="A157" t="s">
        <v>16</v>
      </c>
      <c r="B157" t="s">
        <v>52</v>
      </c>
      <c r="C157" t="s">
        <v>167</v>
      </c>
      <c r="D157">
        <v>34557</v>
      </c>
      <c r="E157">
        <v>10</v>
      </c>
      <c r="F157" s="24" t="str">
        <f t="shared" si="32"/>
        <v>2023-10</v>
      </c>
      <c r="O157" t="s">
        <v>8</v>
      </c>
      <c r="P157" t="s">
        <v>101</v>
      </c>
      <c r="Q157">
        <v>10</v>
      </c>
      <c r="AA157">
        <v>34557</v>
      </c>
      <c r="AB157" t="s">
        <v>171</v>
      </c>
      <c r="AC157" t="s">
        <v>268</v>
      </c>
      <c r="AD157">
        <f t="shared" si="29"/>
        <v>3</v>
      </c>
      <c r="AE157">
        <f t="shared" si="30"/>
        <v>159275</v>
      </c>
      <c r="AG157" t="s">
        <v>8</v>
      </c>
      <c r="AH157" t="s">
        <v>101</v>
      </c>
      <c r="AI157" t="s">
        <v>159</v>
      </c>
      <c r="AJ157">
        <f t="shared" si="31"/>
        <v>5</v>
      </c>
      <c r="BF157" t="s">
        <v>101</v>
      </c>
      <c r="BG157" t="s">
        <v>8</v>
      </c>
      <c r="BH157">
        <v>10</v>
      </c>
      <c r="BI157" t="s">
        <v>497</v>
      </c>
      <c r="CG157" t="s">
        <v>16</v>
      </c>
      <c r="CH157" t="s">
        <v>52</v>
      </c>
      <c r="CI157">
        <v>34557</v>
      </c>
      <c r="CJ157" t="s">
        <v>497</v>
      </c>
    </row>
    <row r="158" spans="1:88" x14ac:dyDescent="0.25">
      <c r="A158" t="s">
        <v>55</v>
      </c>
      <c r="B158" t="s">
        <v>18</v>
      </c>
      <c r="C158" t="s">
        <v>167</v>
      </c>
      <c r="D158">
        <v>92101</v>
      </c>
      <c r="E158">
        <v>5</v>
      </c>
      <c r="F158" s="24" t="str">
        <f t="shared" si="32"/>
        <v>2023-10</v>
      </c>
      <c r="O158" t="s">
        <v>29</v>
      </c>
      <c r="P158" t="s">
        <v>12</v>
      </c>
      <c r="Q158">
        <v>10</v>
      </c>
      <c r="AA158">
        <v>92101</v>
      </c>
      <c r="AB158" t="s">
        <v>110</v>
      </c>
      <c r="AC158" t="s">
        <v>280</v>
      </c>
      <c r="AD158">
        <f t="shared" si="29"/>
        <v>3</v>
      </c>
      <c r="AE158">
        <f t="shared" si="30"/>
        <v>241921</v>
      </c>
      <c r="AG158" t="s">
        <v>29</v>
      </c>
      <c r="AH158" t="s">
        <v>12</v>
      </c>
      <c r="AI158" t="s">
        <v>164</v>
      </c>
      <c r="AJ158">
        <f t="shared" si="31"/>
        <v>5</v>
      </c>
      <c r="BF158" t="s">
        <v>12</v>
      </c>
      <c r="BG158" t="s">
        <v>29</v>
      </c>
      <c r="BH158">
        <v>10</v>
      </c>
      <c r="BI158" t="s">
        <v>497</v>
      </c>
      <c r="CG158" t="s">
        <v>55</v>
      </c>
      <c r="CH158" t="s">
        <v>18</v>
      </c>
      <c r="CI158">
        <v>92101</v>
      </c>
      <c r="CJ158" t="s">
        <v>497</v>
      </c>
    </row>
    <row r="159" spans="1:88" x14ac:dyDescent="0.25">
      <c r="A159" t="s">
        <v>53</v>
      </c>
      <c r="B159" t="s">
        <v>82</v>
      </c>
      <c r="C159" t="s">
        <v>167</v>
      </c>
      <c r="D159">
        <v>27327</v>
      </c>
      <c r="E159">
        <v>3</v>
      </c>
      <c r="F159" s="24" t="str">
        <f t="shared" si="32"/>
        <v>2023-10</v>
      </c>
      <c r="O159" t="s">
        <v>16</v>
      </c>
      <c r="P159" t="s">
        <v>54</v>
      </c>
      <c r="Q159">
        <v>7</v>
      </c>
      <c r="AA159">
        <v>27327</v>
      </c>
      <c r="AB159" t="s">
        <v>176</v>
      </c>
      <c r="AC159" t="s">
        <v>293</v>
      </c>
      <c r="AD159">
        <f t="shared" si="29"/>
        <v>3</v>
      </c>
      <c r="AE159">
        <f t="shared" si="30"/>
        <v>245357</v>
      </c>
      <c r="AG159" t="s">
        <v>16</v>
      </c>
      <c r="AH159" t="s">
        <v>54</v>
      </c>
      <c r="AI159" t="s">
        <v>177</v>
      </c>
      <c r="AJ159">
        <f t="shared" si="31"/>
        <v>5</v>
      </c>
      <c r="BF159" t="s">
        <v>54</v>
      </c>
      <c r="BG159" t="s">
        <v>16</v>
      </c>
      <c r="BH159">
        <v>7</v>
      </c>
      <c r="BI159" t="s">
        <v>497</v>
      </c>
      <c r="CG159" t="s">
        <v>53</v>
      </c>
      <c r="CH159" t="s">
        <v>82</v>
      </c>
      <c r="CI159">
        <v>27327</v>
      </c>
      <c r="CJ159" t="s">
        <v>497</v>
      </c>
    </row>
    <row r="160" spans="1:88" x14ac:dyDescent="0.25">
      <c r="A160" t="s">
        <v>29</v>
      </c>
      <c r="B160" t="s">
        <v>26</v>
      </c>
      <c r="C160" t="s">
        <v>167</v>
      </c>
      <c r="D160">
        <v>61011</v>
      </c>
      <c r="E160">
        <v>6</v>
      </c>
      <c r="F160" s="24" t="str">
        <f t="shared" si="32"/>
        <v>2023-10</v>
      </c>
      <c r="O160" t="s">
        <v>55</v>
      </c>
      <c r="P160" t="s">
        <v>169</v>
      </c>
      <c r="Q160">
        <v>7</v>
      </c>
      <c r="AA160">
        <v>61011</v>
      </c>
      <c r="AB160" t="s">
        <v>177</v>
      </c>
      <c r="AC160" t="s">
        <v>300</v>
      </c>
      <c r="AD160">
        <f t="shared" si="29"/>
        <v>3</v>
      </c>
      <c r="AE160">
        <f t="shared" si="30"/>
        <v>173388</v>
      </c>
      <c r="AG160" t="s">
        <v>55</v>
      </c>
      <c r="AH160" t="s">
        <v>169</v>
      </c>
      <c r="AI160" t="s">
        <v>180</v>
      </c>
      <c r="AJ160">
        <f t="shared" si="31"/>
        <v>5</v>
      </c>
      <c r="BF160" t="s">
        <v>169</v>
      </c>
      <c r="BG160" t="s">
        <v>55</v>
      </c>
      <c r="BH160">
        <v>7</v>
      </c>
      <c r="BI160" t="s">
        <v>497</v>
      </c>
      <c r="CG160" t="s">
        <v>29</v>
      </c>
      <c r="CH160" t="s">
        <v>26</v>
      </c>
      <c r="CI160">
        <v>61011</v>
      </c>
      <c r="CJ160" t="s">
        <v>497</v>
      </c>
    </row>
    <row r="161" spans="1:88" x14ac:dyDescent="0.25">
      <c r="A161" t="s">
        <v>8</v>
      </c>
      <c r="B161" t="s">
        <v>101</v>
      </c>
      <c r="C161" t="s">
        <v>167</v>
      </c>
      <c r="D161">
        <v>31457</v>
      </c>
      <c r="E161">
        <v>10</v>
      </c>
      <c r="F161" s="24" t="str">
        <f t="shared" si="32"/>
        <v>2023-10</v>
      </c>
      <c r="O161" t="s">
        <v>55</v>
      </c>
      <c r="P161" t="s">
        <v>170</v>
      </c>
      <c r="Q161">
        <v>5</v>
      </c>
      <c r="AA161">
        <v>31457</v>
      </c>
      <c r="AB161" t="s">
        <v>180</v>
      </c>
      <c r="AC161" t="s">
        <v>308</v>
      </c>
      <c r="AD161">
        <f t="shared" si="29"/>
        <v>3</v>
      </c>
      <c r="AE161">
        <f t="shared" si="30"/>
        <v>180843</v>
      </c>
      <c r="AG161" t="s">
        <v>55</v>
      </c>
      <c r="AH161" t="s">
        <v>170</v>
      </c>
      <c r="AI161" t="s">
        <v>206</v>
      </c>
      <c r="AJ161">
        <f t="shared" si="31"/>
        <v>5</v>
      </c>
      <c r="BF161" t="s">
        <v>170</v>
      </c>
      <c r="BG161" t="s">
        <v>55</v>
      </c>
      <c r="BH161">
        <v>5</v>
      </c>
      <c r="BI161" t="s">
        <v>497</v>
      </c>
      <c r="CG161" t="s">
        <v>8</v>
      </c>
      <c r="CH161" t="s">
        <v>101</v>
      </c>
      <c r="CI161">
        <v>31457</v>
      </c>
      <c r="CJ161" t="s">
        <v>497</v>
      </c>
    </row>
    <row r="162" spans="1:88" x14ac:dyDescent="0.25">
      <c r="A162" t="s">
        <v>29</v>
      </c>
      <c r="B162" t="s">
        <v>12</v>
      </c>
      <c r="C162" t="s">
        <v>168</v>
      </c>
      <c r="D162">
        <v>97024</v>
      </c>
      <c r="E162">
        <v>10</v>
      </c>
      <c r="F162" s="24" t="str">
        <f t="shared" si="32"/>
        <v>2023-10</v>
      </c>
      <c r="O162" t="s">
        <v>37</v>
      </c>
      <c r="P162" t="s">
        <v>89</v>
      </c>
      <c r="Q162">
        <v>5</v>
      </c>
      <c r="AA162">
        <v>97024</v>
      </c>
      <c r="AB162" t="s">
        <v>64</v>
      </c>
      <c r="AC162" t="s">
        <v>314</v>
      </c>
      <c r="AD162">
        <f t="shared" si="29"/>
        <v>3</v>
      </c>
      <c r="AE162">
        <f t="shared" si="30"/>
        <v>186547</v>
      </c>
      <c r="AG162" t="s">
        <v>37</v>
      </c>
      <c r="AH162" t="s">
        <v>89</v>
      </c>
      <c r="AI162" t="s">
        <v>214</v>
      </c>
      <c r="AJ162">
        <f t="shared" ref="AJ162:AJ193" si="33">COUNTIF(AH:AH,AI162)</f>
        <v>5</v>
      </c>
      <c r="BF162" t="s">
        <v>89</v>
      </c>
      <c r="BG162" t="s">
        <v>37</v>
      </c>
      <c r="BH162">
        <v>5</v>
      </c>
      <c r="BI162" t="s">
        <v>497</v>
      </c>
      <c r="CG162" t="s">
        <v>29</v>
      </c>
      <c r="CH162" t="s">
        <v>12</v>
      </c>
      <c r="CI162">
        <v>97024</v>
      </c>
      <c r="CJ162" t="s">
        <v>497</v>
      </c>
    </row>
    <row r="163" spans="1:88" x14ac:dyDescent="0.25">
      <c r="A163" t="s">
        <v>16</v>
      </c>
      <c r="B163" t="s">
        <v>54</v>
      </c>
      <c r="C163" t="s">
        <v>168</v>
      </c>
      <c r="D163">
        <v>29980</v>
      </c>
      <c r="E163">
        <v>7</v>
      </c>
      <c r="F163" s="24" t="str">
        <f t="shared" si="32"/>
        <v>2023-10</v>
      </c>
      <c r="O163" t="s">
        <v>37</v>
      </c>
      <c r="P163" t="s">
        <v>22</v>
      </c>
      <c r="Q163">
        <v>8</v>
      </c>
      <c r="AA163">
        <v>29980</v>
      </c>
      <c r="AB163" t="s">
        <v>185</v>
      </c>
      <c r="AC163" t="s">
        <v>337</v>
      </c>
      <c r="AD163">
        <f t="shared" si="29"/>
        <v>3</v>
      </c>
      <c r="AE163">
        <f t="shared" si="30"/>
        <v>150437</v>
      </c>
      <c r="AG163" t="s">
        <v>37</v>
      </c>
      <c r="AH163" t="s">
        <v>22</v>
      </c>
      <c r="AI163" t="s">
        <v>220</v>
      </c>
      <c r="AJ163">
        <f t="shared" si="33"/>
        <v>5</v>
      </c>
      <c r="BF163" t="s">
        <v>22</v>
      </c>
      <c r="BG163" t="s">
        <v>37</v>
      </c>
      <c r="BH163">
        <v>8</v>
      </c>
      <c r="BI163" t="s">
        <v>497</v>
      </c>
      <c r="CG163" t="s">
        <v>16</v>
      </c>
      <c r="CH163" t="s">
        <v>54</v>
      </c>
      <c r="CI163">
        <v>29980</v>
      </c>
      <c r="CJ163" t="s">
        <v>497</v>
      </c>
    </row>
    <row r="164" spans="1:88" x14ac:dyDescent="0.25">
      <c r="A164" t="s">
        <v>55</v>
      </c>
      <c r="B164" t="s">
        <v>169</v>
      </c>
      <c r="C164" t="s">
        <v>168</v>
      </c>
      <c r="D164">
        <v>15508</v>
      </c>
      <c r="E164">
        <v>7</v>
      </c>
      <c r="F164" s="24" t="str">
        <f t="shared" si="32"/>
        <v>2023-10</v>
      </c>
      <c r="O164" t="s">
        <v>37</v>
      </c>
      <c r="P164" t="s">
        <v>51</v>
      </c>
      <c r="Q164">
        <v>6</v>
      </c>
      <c r="AA164">
        <v>15508</v>
      </c>
      <c r="AB164" t="s">
        <v>39</v>
      </c>
      <c r="AC164" t="s">
        <v>393</v>
      </c>
      <c r="AD164">
        <f t="shared" si="29"/>
        <v>3</v>
      </c>
      <c r="AE164">
        <f t="shared" si="30"/>
        <v>152150</v>
      </c>
      <c r="AG164" t="s">
        <v>37</v>
      </c>
      <c r="AH164" t="s">
        <v>51</v>
      </c>
      <c r="AI164" t="s">
        <v>237</v>
      </c>
      <c r="AJ164">
        <f t="shared" si="33"/>
        <v>5</v>
      </c>
      <c r="BF164" t="s">
        <v>51</v>
      </c>
      <c r="BG164" t="s">
        <v>37</v>
      </c>
      <c r="BH164">
        <v>6</v>
      </c>
      <c r="BI164" t="s">
        <v>497</v>
      </c>
      <c r="CG164" t="s">
        <v>55</v>
      </c>
      <c r="CH164" t="s">
        <v>169</v>
      </c>
      <c r="CI164">
        <v>15508</v>
      </c>
      <c r="CJ164" t="s">
        <v>497</v>
      </c>
    </row>
    <row r="165" spans="1:88" x14ac:dyDescent="0.25">
      <c r="A165" t="s">
        <v>55</v>
      </c>
      <c r="B165" t="s">
        <v>170</v>
      </c>
      <c r="C165" t="s">
        <v>168</v>
      </c>
      <c r="D165">
        <v>63400</v>
      </c>
      <c r="E165">
        <v>5</v>
      </c>
      <c r="F165" s="24" t="str">
        <f t="shared" si="32"/>
        <v>2023-10</v>
      </c>
      <c r="O165" t="s">
        <v>10</v>
      </c>
      <c r="P165" t="s">
        <v>31</v>
      </c>
      <c r="Q165">
        <v>3</v>
      </c>
      <c r="AA165">
        <v>63400</v>
      </c>
      <c r="AB165" t="s">
        <v>58</v>
      </c>
      <c r="AC165" t="s">
        <v>63</v>
      </c>
      <c r="AD165">
        <f t="shared" si="29"/>
        <v>2</v>
      </c>
      <c r="AE165">
        <f t="shared" si="30"/>
        <v>135391</v>
      </c>
      <c r="AG165" t="s">
        <v>10</v>
      </c>
      <c r="AH165" t="s">
        <v>31</v>
      </c>
      <c r="AI165" t="s">
        <v>242</v>
      </c>
      <c r="AJ165">
        <f t="shared" si="33"/>
        <v>5</v>
      </c>
      <c r="BF165" t="s">
        <v>31</v>
      </c>
      <c r="BG165" t="s">
        <v>10</v>
      </c>
      <c r="BH165">
        <v>3</v>
      </c>
      <c r="BI165" t="s">
        <v>497</v>
      </c>
      <c r="CG165" t="s">
        <v>55</v>
      </c>
      <c r="CH165" t="s">
        <v>170</v>
      </c>
      <c r="CI165">
        <v>63400</v>
      </c>
      <c r="CJ165" t="s">
        <v>497</v>
      </c>
    </row>
    <row r="166" spans="1:88" x14ac:dyDescent="0.25">
      <c r="A166" t="s">
        <v>37</v>
      </c>
      <c r="B166" t="s">
        <v>89</v>
      </c>
      <c r="C166" t="s">
        <v>168</v>
      </c>
      <c r="D166">
        <v>22151</v>
      </c>
      <c r="E166">
        <v>5</v>
      </c>
      <c r="F166" s="24" t="str">
        <f t="shared" si="32"/>
        <v>2023-10</v>
      </c>
      <c r="O166" t="s">
        <v>53</v>
      </c>
      <c r="P166" t="s">
        <v>171</v>
      </c>
      <c r="Q166">
        <v>2</v>
      </c>
      <c r="AA166">
        <v>22151</v>
      </c>
      <c r="AB166" t="s">
        <v>83</v>
      </c>
      <c r="AC166" t="s">
        <v>96</v>
      </c>
      <c r="AD166">
        <f t="shared" si="29"/>
        <v>2</v>
      </c>
      <c r="AE166">
        <f t="shared" si="30"/>
        <v>88468</v>
      </c>
      <c r="AG166" t="s">
        <v>53</v>
      </c>
      <c r="AH166" t="s">
        <v>171</v>
      </c>
      <c r="AI166" t="s">
        <v>255</v>
      </c>
      <c r="AJ166">
        <f t="shared" si="33"/>
        <v>5</v>
      </c>
      <c r="BF166" t="s">
        <v>171</v>
      </c>
      <c r="BG166" t="s">
        <v>53</v>
      </c>
      <c r="BH166">
        <v>2</v>
      </c>
      <c r="BI166" t="s">
        <v>497</v>
      </c>
      <c r="CG166" t="s">
        <v>37</v>
      </c>
      <c r="CH166" t="s">
        <v>89</v>
      </c>
      <c r="CI166">
        <v>22151</v>
      </c>
      <c r="CJ166" t="s">
        <v>497</v>
      </c>
    </row>
    <row r="167" spans="1:88" x14ac:dyDescent="0.25">
      <c r="A167" t="s">
        <v>37</v>
      </c>
      <c r="B167" t="s">
        <v>22</v>
      </c>
      <c r="C167" t="s">
        <v>168</v>
      </c>
      <c r="D167">
        <v>89123</v>
      </c>
      <c r="E167">
        <v>8</v>
      </c>
      <c r="F167" s="24" t="str">
        <f t="shared" si="32"/>
        <v>2023-10</v>
      </c>
      <c r="O167" t="s">
        <v>55</v>
      </c>
      <c r="P167" t="s">
        <v>172</v>
      </c>
      <c r="Q167">
        <v>9</v>
      </c>
      <c r="AA167">
        <v>89123</v>
      </c>
      <c r="AB167" t="s">
        <v>41</v>
      </c>
      <c r="AC167" t="s">
        <v>102</v>
      </c>
      <c r="AD167">
        <f t="shared" si="29"/>
        <v>2</v>
      </c>
      <c r="AE167">
        <f t="shared" si="30"/>
        <v>123052</v>
      </c>
      <c r="AG167" t="s">
        <v>55</v>
      </c>
      <c r="AH167" t="s">
        <v>172</v>
      </c>
      <c r="AI167" t="s">
        <v>295</v>
      </c>
      <c r="AJ167">
        <f t="shared" si="33"/>
        <v>5</v>
      </c>
      <c r="BF167" t="s">
        <v>172</v>
      </c>
      <c r="BG167" t="s">
        <v>55</v>
      </c>
      <c r="BH167">
        <v>9</v>
      </c>
      <c r="BI167" t="s">
        <v>497</v>
      </c>
      <c r="CG167" t="s">
        <v>37</v>
      </c>
      <c r="CH167" t="s">
        <v>22</v>
      </c>
      <c r="CI167">
        <v>89123</v>
      </c>
      <c r="CJ167" t="s">
        <v>497</v>
      </c>
    </row>
    <row r="168" spans="1:88" x14ac:dyDescent="0.25">
      <c r="A168" t="s">
        <v>37</v>
      </c>
      <c r="B168" t="s">
        <v>51</v>
      </c>
      <c r="C168" t="s">
        <v>168</v>
      </c>
      <c r="D168">
        <v>11835</v>
      </c>
      <c r="E168">
        <v>6</v>
      </c>
      <c r="F168" s="24" t="str">
        <f t="shared" si="32"/>
        <v>2023-10</v>
      </c>
      <c r="O168" t="s">
        <v>10</v>
      </c>
      <c r="P168" t="s">
        <v>110</v>
      </c>
      <c r="Q168">
        <v>10</v>
      </c>
      <c r="AA168">
        <v>11835</v>
      </c>
      <c r="AB168" t="s">
        <v>88</v>
      </c>
      <c r="AC168" t="s">
        <v>104</v>
      </c>
      <c r="AD168">
        <f t="shared" si="29"/>
        <v>2</v>
      </c>
      <c r="AE168">
        <f t="shared" si="30"/>
        <v>79879</v>
      </c>
      <c r="AG168" t="s">
        <v>10</v>
      </c>
      <c r="AH168" t="s">
        <v>110</v>
      </c>
      <c r="AI168" t="s">
        <v>17</v>
      </c>
      <c r="AJ168">
        <f t="shared" si="33"/>
        <v>6</v>
      </c>
      <c r="BF168" t="s">
        <v>110</v>
      </c>
      <c r="BG168" t="s">
        <v>10</v>
      </c>
      <c r="BH168">
        <v>10</v>
      </c>
      <c r="BI168" t="s">
        <v>497</v>
      </c>
      <c r="CG168" t="s">
        <v>37</v>
      </c>
      <c r="CH168" t="s">
        <v>51</v>
      </c>
      <c r="CI168">
        <v>11835</v>
      </c>
      <c r="CJ168" t="s">
        <v>497</v>
      </c>
    </row>
    <row r="169" spans="1:88" x14ac:dyDescent="0.25">
      <c r="A169" t="s">
        <v>10</v>
      </c>
      <c r="B169" t="s">
        <v>31</v>
      </c>
      <c r="C169" t="s">
        <v>168</v>
      </c>
      <c r="D169">
        <v>35060</v>
      </c>
      <c r="E169">
        <v>3</v>
      </c>
      <c r="F169" s="24" t="str">
        <f t="shared" si="32"/>
        <v>2023-10</v>
      </c>
      <c r="O169" t="s">
        <v>35</v>
      </c>
      <c r="P169" t="s">
        <v>131</v>
      </c>
      <c r="Q169">
        <v>2</v>
      </c>
      <c r="AA169">
        <v>35060</v>
      </c>
      <c r="AB169" t="s">
        <v>105</v>
      </c>
      <c r="AC169" t="s">
        <v>123</v>
      </c>
      <c r="AD169">
        <f t="shared" si="29"/>
        <v>2</v>
      </c>
      <c r="AE169">
        <f t="shared" si="30"/>
        <v>121673</v>
      </c>
      <c r="AG169" t="s">
        <v>35</v>
      </c>
      <c r="AH169" t="s">
        <v>131</v>
      </c>
      <c r="AI169" t="s">
        <v>20</v>
      </c>
      <c r="AJ169">
        <f t="shared" si="33"/>
        <v>6</v>
      </c>
      <c r="BF169" t="s">
        <v>131</v>
      </c>
      <c r="BG169" t="s">
        <v>35</v>
      </c>
      <c r="BH169">
        <v>2</v>
      </c>
      <c r="BI169" t="s">
        <v>497</v>
      </c>
      <c r="CG169" t="s">
        <v>10</v>
      </c>
      <c r="CH169" t="s">
        <v>31</v>
      </c>
      <c r="CI169">
        <v>35060</v>
      </c>
      <c r="CJ169" t="s">
        <v>497</v>
      </c>
    </row>
    <row r="170" spans="1:88" x14ac:dyDescent="0.25">
      <c r="A170" t="s">
        <v>53</v>
      </c>
      <c r="B170" t="s">
        <v>171</v>
      </c>
      <c r="C170" t="s">
        <v>168</v>
      </c>
      <c r="D170">
        <v>45567</v>
      </c>
      <c r="E170">
        <v>2</v>
      </c>
      <c r="F170" s="24" t="str">
        <f t="shared" si="32"/>
        <v>2023-10</v>
      </c>
      <c r="O170" t="s">
        <v>10</v>
      </c>
      <c r="P170" t="s">
        <v>174</v>
      </c>
      <c r="Q170">
        <v>6</v>
      </c>
      <c r="AA170">
        <v>45567</v>
      </c>
      <c r="AB170" t="s">
        <v>108</v>
      </c>
      <c r="AC170" t="s">
        <v>128</v>
      </c>
      <c r="AD170">
        <f t="shared" si="29"/>
        <v>2</v>
      </c>
      <c r="AE170">
        <f t="shared" si="30"/>
        <v>102800</v>
      </c>
      <c r="AG170" t="s">
        <v>10</v>
      </c>
      <c r="AH170" t="s">
        <v>174</v>
      </c>
      <c r="AI170" t="s">
        <v>22</v>
      </c>
      <c r="AJ170">
        <f t="shared" si="33"/>
        <v>6</v>
      </c>
      <c r="BF170" t="s">
        <v>174</v>
      </c>
      <c r="BG170" t="s">
        <v>10</v>
      </c>
      <c r="BH170">
        <v>6</v>
      </c>
      <c r="BI170" t="s">
        <v>498</v>
      </c>
      <c r="CG170" t="s">
        <v>53</v>
      </c>
      <c r="CH170" t="s">
        <v>171</v>
      </c>
      <c r="CI170">
        <v>45567</v>
      </c>
      <c r="CJ170" t="s">
        <v>497</v>
      </c>
    </row>
    <row r="171" spans="1:88" x14ac:dyDescent="0.25">
      <c r="A171" t="s">
        <v>53</v>
      </c>
      <c r="B171" t="s">
        <v>20</v>
      </c>
      <c r="C171" t="s">
        <v>168</v>
      </c>
      <c r="D171">
        <v>26071</v>
      </c>
      <c r="E171">
        <v>7</v>
      </c>
      <c r="F171" s="24" t="str">
        <f t="shared" si="32"/>
        <v>2023-10</v>
      </c>
      <c r="O171" t="s">
        <v>75</v>
      </c>
      <c r="P171" t="s">
        <v>176</v>
      </c>
      <c r="Q171">
        <v>5</v>
      </c>
      <c r="AA171">
        <v>26071</v>
      </c>
      <c r="AB171" t="s">
        <v>19</v>
      </c>
      <c r="AC171" t="s">
        <v>185</v>
      </c>
      <c r="AD171">
        <f t="shared" si="29"/>
        <v>2</v>
      </c>
      <c r="AE171">
        <f t="shared" si="30"/>
        <v>46892</v>
      </c>
      <c r="AG171" t="s">
        <v>75</v>
      </c>
      <c r="AH171" t="s">
        <v>176</v>
      </c>
      <c r="AI171" t="s">
        <v>36</v>
      </c>
      <c r="AJ171">
        <f t="shared" si="33"/>
        <v>6</v>
      </c>
      <c r="BF171" t="s">
        <v>176</v>
      </c>
      <c r="BG171" t="s">
        <v>75</v>
      </c>
      <c r="BH171">
        <v>5</v>
      </c>
      <c r="BI171" t="s">
        <v>498</v>
      </c>
      <c r="CG171" t="s">
        <v>53</v>
      </c>
      <c r="CH171" t="s">
        <v>20</v>
      </c>
      <c r="CI171">
        <v>26071</v>
      </c>
      <c r="CJ171" t="s">
        <v>497</v>
      </c>
    </row>
    <row r="172" spans="1:88" x14ac:dyDescent="0.25">
      <c r="A172" t="s">
        <v>55</v>
      </c>
      <c r="B172" t="s">
        <v>172</v>
      </c>
      <c r="C172" t="s">
        <v>168</v>
      </c>
      <c r="D172">
        <v>51089</v>
      </c>
      <c r="E172">
        <v>9</v>
      </c>
      <c r="F172" s="24" t="str">
        <f t="shared" si="32"/>
        <v>2023-10</v>
      </c>
      <c r="O172" t="s">
        <v>8</v>
      </c>
      <c r="P172" t="s">
        <v>106</v>
      </c>
      <c r="Q172">
        <v>4</v>
      </c>
      <c r="AA172">
        <v>51089</v>
      </c>
      <c r="AB172" t="s">
        <v>141</v>
      </c>
      <c r="AC172" t="s">
        <v>187</v>
      </c>
      <c r="AD172">
        <f t="shared" si="29"/>
        <v>2</v>
      </c>
      <c r="AE172">
        <f t="shared" si="30"/>
        <v>68923</v>
      </c>
      <c r="AG172" t="s">
        <v>8</v>
      </c>
      <c r="AH172" t="s">
        <v>106</v>
      </c>
      <c r="AI172" t="s">
        <v>52</v>
      </c>
      <c r="AJ172">
        <f t="shared" si="33"/>
        <v>6</v>
      </c>
      <c r="BF172" t="s">
        <v>106</v>
      </c>
      <c r="BG172" t="s">
        <v>8</v>
      </c>
      <c r="BH172">
        <v>4</v>
      </c>
      <c r="BI172" t="s">
        <v>498</v>
      </c>
      <c r="CG172" t="s">
        <v>55</v>
      </c>
      <c r="CH172" t="s">
        <v>172</v>
      </c>
      <c r="CI172">
        <v>51089</v>
      </c>
      <c r="CJ172" t="s">
        <v>497</v>
      </c>
    </row>
    <row r="173" spans="1:88" x14ac:dyDescent="0.25">
      <c r="A173" t="s">
        <v>10</v>
      </c>
      <c r="B173" t="s">
        <v>110</v>
      </c>
      <c r="C173" t="s">
        <v>168</v>
      </c>
      <c r="D173">
        <v>79409</v>
      </c>
      <c r="E173">
        <v>10</v>
      </c>
      <c r="F173" s="24" t="str">
        <f t="shared" si="32"/>
        <v>2023-10</v>
      </c>
      <c r="O173" t="s">
        <v>14</v>
      </c>
      <c r="P173" t="s">
        <v>36</v>
      </c>
      <c r="Q173">
        <v>6</v>
      </c>
      <c r="AA173">
        <v>79409</v>
      </c>
      <c r="AB173" t="s">
        <v>83</v>
      </c>
      <c r="AC173" t="s">
        <v>188</v>
      </c>
      <c r="AD173">
        <f t="shared" si="29"/>
        <v>2</v>
      </c>
      <c r="AE173">
        <f t="shared" si="30"/>
        <v>105452</v>
      </c>
      <c r="AG173" t="s">
        <v>14</v>
      </c>
      <c r="AH173" t="s">
        <v>36</v>
      </c>
      <c r="AI173" t="s">
        <v>58</v>
      </c>
      <c r="AJ173">
        <f t="shared" si="33"/>
        <v>6</v>
      </c>
      <c r="BF173" t="s">
        <v>36</v>
      </c>
      <c r="BG173" t="s">
        <v>14</v>
      </c>
      <c r="BH173">
        <v>6</v>
      </c>
      <c r="BI173" t="s">
        <v>498</v>
      </c>
      <c r="CG173" t="s">
        <v>10</v>
      </c>
      <c r="CH173" t="s">
        <v>110</v>
      </c>
      <c r="CI173">
        <v>79409</v>
      </c>
      <c r="CJ173" t="s">
        <v>497</v>
      </c>
    </row>
    <row r="174" spans="1:88" x14ac:dyDescent="0.25">
      <c r="A174" t="s">
        <v>75</v>
      </c>
      <c r="B174" t="s">
        <v>100</v>
      </c>
      <c r="C174" t="s">
        <v>168</v>
      </c>
      <c r="D174">
        <v>24173</v>
      </c>
      <c r="E174">
        <v>0</v>
      </c>
      <c r="F174" s="24" t="str">
        <f t="shared" si="32"/>
        <v>2023-10</v>
      </c>
      <c r="O174" t="s">
        <v>75</v>
      </c>
      <c r="P174" t="s">
        <v>177</v>
      </c>
      <c r="Q174">
        <v>7</v>
      </c>
      <c r="AA174">
        <v>24173</v>
      </c>
      <c r="AB174" t="s">
        <v>143</v>
      </c>
      <c r="AC174" t="s">
        <v>190</v>
      </c>
      <c r="AD174">
        <f t="shared" si="29"/>
        <v>2</v>
      </c>
      <c r="AE174">
        <f t="shared" si="30"/>
        <v>43757</v>
      </c>
      <c r="AG174" t="s">
        <v>75</v>
      </c>
      <c r="AH174" t="s">
        <v>177</v>
      </c>
      <c r="AI174" t="s">
        <v>76</v>
      </c>
      <c r="AJ174">
        <f t="shared" si="33"/>
        <v>6</v>
      </c>
      <c r="BF174" t="s">
        <v>177</v>
      </c>
      <c r="BG174" t="s">
        <v>75</v>
      </c>
      <c r="BH174">
        <v>7</v>
      </c>
      <c r="BI174" t="s">
        <v>498</v>
      </c>
      <c r="CG174" t="s">
        <v>75</v>
      </c>
      <c r="CH174" t="s">
        <v>100</v>
      </c>
      <c r="CI174">
        <v>24173</v>
      </c>
      <c r="CJ174" t="s">
        <v>497</v>
      </c>
    </row>
    <row r="175" spans="1:88" x14ac:dyDescent="0.25">
      <c r="A175" t="s">
        <v>35</v>
      </c>
      <c r="B175" t="s">
        <v>131</v>
      </c>
      <c r="C175" t="s">
        <v>173</v>
      </c>
      <c r="D175">
        <v>71931</v>
      </c>
      <c r="E175">
        <v>2</v>
      </c>
      <c r="F175" s="24" t="str">
        <f t="shared" si="32"/>
        <v>2023-10</v>
      </c>
      <c r="O175" t="s">
        <v>16</v>
      </c>
      <c r="P175" t="s">
        <v>178</v>
      </c>
      <c r="Q175">
        <v>6</v>
      </c>
      <c r="AA175">
        <v>71931</v>
      </c>
      <c r="AB175" t="s">
        <v>64</v>
      </c>
      <c r="AC175" t="s">
        <v>203</v>
      </c>
      <c r="AD175">
        <f t="shared" si="29"/>
        <v>2</v>
      </c>
      <c r="AE175">
        <f t="shared" si="30"/>
        <v>97301</v>
      </c>
      <c r="AG175" t="s">
        <v>16</v>
      </c>
      <c r="AH175" t="s">
        <v>178</v>
      </c>
      <c r="AI175" t="s">
        <v>95</v>
      </c>
      <c r="AJ175">
        <f t="shared" si="33"/>
        <v>6</v>
      </c>
      <c r="BF175" t="s">
        <v>178</v>
      </c>
      <c r="BG175" t="s">
        <v>16</v>
      </c>
      <c r="BH175">
        <v>6</v>
      </c>
      <c r="BI175" t="s">
        <v>498</v>
      </c>
      <c r="CG175" t="s">
        <v>35</v>
      </c>
      <c r="CH175" t="s">
        <v>131</v>
      </c>
      <c r="CI175">
        <v>71931</v>
      </c>
      <c r="CJ175" t="s">
        <v>497</v>
      </c>
    </row>
    <row r="176" spans="1:88" x14ac:dyDescent="0.25">
      <c r="A176" t="s">
        <v>10</v>
      </c>
      <c r="B176" t="s">
        <v>174</v>
      </c>
      <c r="C176" t="s">
        <v>175</v>
      </c>
      <c r="D176">
        <v>89854</v>
      </c>
      <c r="E176">
        <v>6</v>
      </c>
      <c r="F176" s="24" t="str">
        <f t="shared" si="32"/>
        <v>2023-11</v>
      </c>
      <c r="O176" t="s">
        <v>37</v>
      </c>
      <c r="P176" t="s">
        <v>179</v>
      </c>
      <c r="Q176">
        <v>7</v>
      </c>
      <c r="AA176">
        <v>89854</v>
      </c>
      <c r="AB176" t="s">
        <v>159</v>
      </c>
      <c r="AC176" t="s">
        <v>224</v>
      </c>
      <c r="AD176">
        <f t="shared" si="29"/>
        <v>2</v>
      </c>
      <c r="AE176">
        <f t="shared" si="30"/>
        <v>68954</v>
      </c>
      <c r="AG176" t="s">
        <v>37</v>
      </c>
      <c r="AH176" t="s">
        <v>179</v>
      </c>
      <c r="AI176" t="s">
        <v>98</v>
      </c>
      <c r="AJ176">
        <f t="shared" si="33"/>
        <v>6</v>
      </c>
      <c r="BF176" t="s">
        <v>179</v>
      </c>
      <c r="BG176" t="s">
        <v>37</v>
      </c>
      <c r="BH176">
        <v>7</v>
      </c>
      <c r="BI176" t="s">
        <v>498</v>
      </c>
      <c r="CG176" t="s">
        <v>10</v>
      </c>
      <c r="CH176" t="s">
        <v>174</v>
      </c>
      <c r="CI176">
        <v>89854</v>
      </c>
      <c r="CJ176" t="s">
        <v>498</v>
      </c>
    </row>
    <row r="177" spans="1:88" x14ac:dyDescent="0.25">
      <c r="A177" t="s">
        <v>75</v>
      </c>
      <c r="B177" t="s">
        <v>176</v>
      </c>
      <c r="C177" t="s">
        <v>175</v>
      </c>
      <c r="D177">
        <v>36759</v>
      </c>
      <c r="E177">
        <v>5</v>
      </c>
      <c r="F177" s="24" t="str">
        <f t="shared" si="32"/>
        <v>2023-11</v>
      </c>
      <c r="O177" t="s">
        <v>55</v>
      </c>
      <c r="P177" t="s">
        <v>180</v>
      </c>
      <c r="Q177">
        <v>6</v>
      </c>
      <c r="AA177">
        <v>36759</v>
      </c>
      <c r="AB177" t="s">
        <v>161</v>
      </c>
      <c r="AC177" t="s">
        <v>227</v>
      </c>
      <c r="AD177">
        <f t="shared" si="29"/>
        <v>2</v>
      </c>
      <c r="AE177">
        <f t="shared" si="30"/>
        <v>133677</v>
      </c>
      <c r="AG177" t="s">
        <v>55</v>
      </c>
      <c r="AH177" t="s">
        <v>180</v>
      </c>
      <c r="AI177" t="s">
        <v>101</v>
      </c>
      <c r="AJ177">
        <f t="shared" si="33"/>
        <v>6</v>
      </c>
      <c r="BF177" t="s">
        <v>180</v>
      </c>
      <c r="BG177" t="s">
        <v>55</v>
      </c>
      <c r="BH177">
        <v>6</v>
      </c>
      <c r="BI177" t="s">
        <v>498</v>
      </c>
      <c r="CG177" t="s">
        <v>75</v>
      </c>
      <c r="CH177" t="s">
        <v>176</v>
      </c>
      <c r="CI177">
        <v>36759</v>
      </c>
      <c r="CJ177" t="s">
        <v>498</v>
      </c>
    </row>
    <row r="178" spans="1:88" x14ac:dyDescent="0.25">
      <c r="A178" t="s">
        <v>8</v>
      </c>
      <c r="B178" t="s">
        <v>106</v>
      </c>
      <c r="C178" t="s">
        <v>175</v>
      </c>
      <c r="D178">
        <v>15743</v>
      </c>
      <c r="E178">
        <v>4</v>
      </c>
      <c r="F178" s="24" t="str">
        <f t="shared" si="32"/>
        <v>2023-11</v>
      </c>
      <c r="O178" t="s">
        <v>55</v>
      </c>
      <c r="P178" t="s">
        <v>64</v>
      </c>
      <c r="Q178">
        <v>7</v>
      </c>
      <c r="AA178">
        <v>15743</v>
      </c>
      <c r="AB178" t="s">
        <v>18</v>
      </c>
      <c r="AC178" t="s">
        <v>239</v>
      </c>
      <c r="AD178">
        <f t="shared" si="29"/>
        <v>2</v>
      </c>
      <c r="AE178">
        <f t="shared" si="30"/>
        <v>148021</v>
      </c>
      <c r="AG178" t="s">
        <v>55</v>
      </c>
      <c r="AH178" t="s">
        <v>64</v>
      </c>
      <c r="AI178" t="s">
        <v>105</v>
      </c>
      <c r="AJ178">
        <f t="shared" si="33"/>
        <v>6</v>
      </c>
      <c r="BF178" t="s">
        <v>64</v>
      </c>
      <c r="BG178" t="s">
        <v>55</v>
      </c>
      <c r="BH178">
        <v>7</v>
      </c>
      <c r="BI178" t="s">
        <v>498</v>
      </c>
      <c r="CG178" t="s">
        <v>8</v>
      </c>
      <c r="CH178" t="s">
        <v>106</v>
      </c>
      <c r="CI178">
        <v>15743</v>
      </c>
      <c r="CJ178" t="s">
        <v>498</v>
      </c>
    </row>
    <row r="179" spans="1:88" x14ac:dyDescent="0.25">
      <c r="A179" t="s">
        <v>14</v>
      </c>
      <c r="B179" t="s">
        <v>36</v>
      </c>
      <c r="C179" t="s">
        <v>175</v>
      </c>
      <c r="D179">
        <v>65951</v>
      </c>
      <c r="E179">
        <v>6</v>
      </c>
      <c r="F179" s="24" t="str">
        <f t="shared" si="32"/>
        <v>2023-11</v>
      </c>
      <c r="O179" t="s">
        <v>14</v>
      </c>
      <c r="P179" t="s">
        <v>181</v>
      </c>
      <c r="Q179">
        <v>7</v>
      </c>
      <c r="AA179">
        <v>65951</v>
      </c>
      <c r="AB179" t="s">
        <v>89</v>
      </c>
      <c r="AC179" t="s">
        <v>258</v>
      </c>
      <c r="AD179">
        <f t="shared" si="29"/>
        <v>2</v>
      </c>
      <c r="AE179">
        <f t="shared" si="30"/>
        <v>91492</v>
      </c>
      <c r="AG179" t="s">
        <v>14</v>
      </c>
      <c r="AH179" t="s">
        <v>181</v>
      </c>
      <c r="AI179" t="s">
        <v>131</v>
      </c>
      <c r="AJ179">
        <f t="shared" si="33"/>
        <v>6</v>
      </c>
      <c r="BF179" t="s">
        <v>181</v>
      </c>
      <c r="BG179" t="s">
        <v>14</v>
      </c>
      <c r="BH179">
        <v>7</v>
      </c>
      <c r="BI179" t="s">
        <v>498</v>
      </c>
      <c r="CG179" t="s">
        <v>14</v>
      </c>
      <c r="CH179" t="s">
        <v>36</v>
      </c>
      <c r="CI179">
        <v>65951</v>
      </c>
      <c r="CJ179" t="s">
        <v>498</v>
      </c>
    </row>
    <row r="180" spans="1:88" x14ac:dyDescent="0.25">
      <c r="A180" t="s">
        <v>75</v>
      </c>
      <c r="B180" t="s">
        <v>177</v>
      </c>
      <c r="C180" t="s">
        <v>175</v>
      </c>
      <c r="D180">
        <v>80297</v>
      </c>
      <c r="E180">
        <v>7</v>
      </c>
      <c r="F180" s="24" t="str">
        <f t="shared" si="32"/>
        <v>2023-11</v>
      </c>
      <c r="O180" t="s">
        <v>5</v>
      </c>
      <c r="P180" t="s">
        <v>105</v>
      </c>
      <c r="Q180">
        <v>7</v>
      </c>
      <c r="AA180">
        <v>80297</v>
      </c>
      <c r="AB180" t="s">
        <v>20</v>
      </c>
      <c r="AC180" t="s">
        <v>273</v>
      </c>
      <c r="AD180">
        <f t="shared" si="29"/>
        <v>2</v>
      </c>
      <c r="AE180">
        <f t="shared" si="30"/>
        <v>76836</v>
      </c>
      <c r="AG180" t="s">
        <v>5</v>
      </c>
      <c r="AH180" t="s">
        <v>105</v>
      </c>
      <c r="AI180" t="s">
        <v>142</v>
      </c>
      <c r="AJ180">
        <f t="shared" si="33"/>
        <v>6</v>
      </c>
      <c r="BF180" t="s">
        <v>105</v>
      </c>
      <c r="BG180" t="s">
        <v>5</v>
      </c>
      <c r="BH180">
        <v>7</v>
      </c>
      <c r="BI180" t="s">
        <v>498</v>
      </c>
      <c r="CG180" t="s">
        <v>75</v>
      </c>
      <c r="CH180" t="s">
        <v>177</v>
      </c>
      <c r="CI180">
        <v>80297</v>
      </c>
      <c r="CJ180" t="s">
        <v>498</v>
      </c>
    </row>
    <row r="181" spans="1:88" x14ac:dyDescent="0.25">
      <c r="A181" t="s">
        <v>16</v>
      </c>
      <c r="B181" t="s">
        <v>178</v>
      </c>
      <c r="C181" t="s">
        <v>175</v>
      </c>
      <c r="D181">
        <v>64786</v>
      </c>
      <c r="E181">
        <v>6</v>
      </c>
      <c r="F181" s="24" t="str">
        <f t="shared" si="32"/>
        <v>2023-11</v>
      </c>
      <c r="O181" t="s">
        <v>5</v>
      </c>
      <c r="P181" t="s">
        <v>183</v>
      </c>
      <c r="Q181">
        <v>6</v>
      </c>
      <c r="AA181">
        <v>64786</v>
      </c>
      <c r="AB181" t="s">
        <v>172</v>
      </c>
      <c r="AC181" t="s">
        <v>275</v>
      </c>
      <c r="AD181">
        <f t="shared" si="29"/>
        <v>2</v>
      </c>
      <c r="AE181">
        <f t="shared" si="30"/>
        <v>162278</v>
      </c>
      <c r="AG181" t="s">
        <v>5</v>
      </c>
      <c r="AH181" t="s">
        <v>183</v>
      </c>
      <c r="AI181" t="s">
        <v>149</v>
      </c>
      <c r="AJ181">
        <f t="shared" si="33"/>
        <v>6</v>
      </c>
      <c r="BF181" t="s">
        <v>183</v>
      </c>
      <c r="BG181" t="s">
        <v>5</v>
      </c>
      <c r="BH181">
        <v>6</v>
      </c>
      <c r="BI181" t="s">
        <v>498</v>
      </c>
      <c r="CG181" t="s">
        <v>16</v>
      </c>
      <c r="CH181" t="s">
        <v>178</v>
      </c>
      <c r="CI181">
        <v>64786</v>
      </c>
      <c r="CJ181" t="s">
        <v>498</v>
      </c>
    </row>
    <row r="182" spans="1:88" x14ac:dyDescent="0.25">
      <c r="A182" t="s">
        <v>16</v>
      </c>
      <c r="B182" t="s">
        <v>82</v>
      </c>
      <c r="C182" t="s">
        <v>175</v>
      </c>
      <c r="D182">
        <v>69225</v>
      </c>
      <c r="E182">
        <v>4</v>
      </c>
      <c r="F182" s="24" t="str">
        <f t="shared" si="32"/>
        <v>2023-11</v>
      </c>
      <c r="O182" t="s">
        <v>75</v>
      </c>
      <c r="P182" t="s">
        <v>185</v>
      </c>
      <c r="Q182">
        <v>7</v>
      </c>
      <c r="AA182">
        <v>69225</v>
      </c>
      <c r="AB182" t="s">
        <v>100</v>
      </c>
      <c r="AC182" t="s">
        <v>281</v>
      </c>
      <c r="AD182">
        <f t="shared" si="29"/>
        <v>2</v>
      </c>
      <c r="AE182">
        <f t="shared" si="30"/>
        <v>129737</v>
      </c>
      <c r="AG182" t="s">
        <v>75</v>
      </c>
      <c r="AH182" t="s">
        <v>185</v>
      </c>
      <c r="AI182" t="s">
        <v>152</v>
      </c>
      <c r="AJ182">
        <f t="shared" si="33"/>
        <v>6</v>
      </c>
      <c r="BF182" t="s">
        <v>185</v>
      </c>
      <c r="BG182" t="s">
        <v>75</v>
      </c>
      <c r="BH182">
        <v>7</v>
      </c>
      <c r="BI182" t="s">
        <v>498</v>
      </c>
      <c r="CG182" t="s">
        <v>16</v>
      </c>
      <c r="CH182" t="s">
        <v>82</v>
      </c>
      <c r="CI182">
        <v>69225</v>
      </c>
      <c r="CJ182" t="s">
        <v>498</v>
      </c>
    </row>
    <row r="183" spans="1:88" x14ac:dyDescent="0.25">
      <c r="A183" t="s">
        <v>37</v>
      </c>
      <c r="B183" t="s">
        <v>179</v>
      </c>
      <c r="C183" t="s">
        <v>175</v>
      </c>
      <c r="D183">
        <v>94626</v>
      </c>
      <c r="E183">
        <v>7</v>
      </c>
      <c r="F183" s="24" t="str">
        <f t="shared" si="32"/>
        <v>2023-11</v>
      </c>
      <c r="O183" t="s">
        <v>10</v>
      </c>
      <c r="P183" t="s">
        <v>176</v>
      </c>
      <c r="Q183">
        <v>8</v>
      </c>
      <c r="AA183">
        <v>94626</v>
      </c>
      <c r="AB183" t="s">
        <v>174</v>
      </c>
      <c r="AC183" t="s">
        <v>287</v>
      </c>
      <c r="AD183">
        <f t="shared" si="29"/>
        <v>2</v>
      </c>
      <c r="AE183">
        <f t="shared" si="30"/>
        <v>96955</v>
      </c>
      <c r="AG183" t="s">
        <v>10</v>
      </c>
      <c r="AH183" t="s">
        <v>176</v>
      </c>
      <c r="AI183" t="s">
        <v>172</v>
      </c>
      <c r="AJ183">
        <f t="shared" si="33"/>
        <v>6</v>
      </c>
      <c r="BF183" t="s">
        <v>176</v>
      </c>
      <c r="BG183" t="s">
        <v>10</v>
      </c>
      <c r="BH183">
        <v>8</v>
      </c>
      <c r="BI183" t="s">
        <v>498</v>
      </c>
      <c r="CG183" t="s">
        <v>37</v>
      </c>
      <c r="CH183" t="s">
        <v>179</v>
      </c>
      <c r="CI183">
        <v>94626</v>
      </c>
      <c r="CJ183" t="s">
        <v>498</v>
      </c>
    </row>
    <row r="184" spans="1:88" x14ac:dyDescent="0.25">
      <c r="A184" t="s">
        <v>55</v>
      </c>
      <c r="B184" t="s">
        <v>180</v>
      </c>
      <c r="C184" t="s">
        <v>175</v>
      </c>
      <c r="D184">
        <v>63685</v>
      </c>
      <c r="E184">
        <v>6</v>
      </c>
      <c r="F184" s="24" t="str">
        <f t="shared" si="32"/>
        <v>2023-11</v>
      </c>
      <c r="O184" t="s">
        <v>16</v>
      </c>
      <c r="P184" t="s">
        <v>187</v>
      </c>
      <c r="Q184">
        <v>7</v>
      </c>
      <c r="AA184">
        <v>63685</v>
      </c>
      <c r="AB184" t="s">
        <v>181</v>
      </c>
      <c r="AC184" t="s">
        <v>319</v>
      </c>
      <c r="AD184">
        <f t="shared" si="29"/>
        <v>2</v>
      </c>
      <c r="AE184">
        <f t="shared" si="30"/>
        <v>124631</v>
      </c>
      <c r="AG184" t="s">
        <v>16</v>
      </c>
      <c r="AH184" t="s">
        <v>187</v>
      </c>
      <c r="AI184" t="s">
        <v>176</v>
      </c>
      <c r="AJ184">
        <f t="shared" si="33"/>
        <v>6</v>
      </c>
      <c r="BF184" t="s">
        <v>187</v>
      </c>
      <c r="BG184" t="s">
        <v>16</v>
      </c>
      <c r="BH184">
        <v>7</v>
      </c>
      <c r="BI184" t="s">
        <v>498</v>
      </c>
      <c r="CG184" t="s">
        <v>55</v>
      </c>
      <c r="CH184" t="s">
        <v>180</v>
      </c>
      <c r="CI184">
        <v>63685</v>
      </c>
      <c r="CJ184" t="s">
        <v>498</v>
      </c>
    </row>
    <row r="185" spans="1:88" x14ac:dyDescent="0.25">
      <c r="A185" t="s">
        <v>55</v>
      </c>
      <c r="B185" t="s">
        <v>64</v>
      </c>
      <c r="C185" t="s">
        <v>175</v>
      </c>
      <c r="D185">
        <v>72348</v>
      </c>
      <c r="E185">
        <v>7</v>
      </c>
      <c r="F185" s="24" t="str">
        <f t="shared" si="32"/>
        <v>2023-11</v>
      </c>
      <c r="O185" t="s">
        <v>5</v>
      </c>
      <c r="P185" t="s">
        <v>149</v>
      </c>
      <c r="Q185">
        <v>8</v>
      </c>
      <c r="AA185">
        <v>72348</v>
      </c>
      <c r="AB185" t="s">
        <v>105</v>
      </c>
      <c r="AC185" t="s">
        <v>325</v>
      </c>
      <c r="AD185">
        <f t="shared" si="29"/>
        <v>2</v>
      </c>
      <c r="AE185">
        <f t="shared" si="30"/>
        <v>98848</v>
      </c>
      <c r="AG185" t="s">
        <v>5</v>
      </c>
      <c r="AH185" t="s">
        <v>149</v>
      </c>
      <c r="AI185" t="s">
        <v>194</v>
      </c>
      <c r="AJ185">
        <f t="shared" si="33"/>
        <v>6</v>
      </c>
      <c r="BF185" t="s">
        <v>149</v>
      </c>
      <c r="BG185" t="s">
        <v>5</v>
      </c>
      <c r="BH185">
        <v>8</v>
      </c>
      <c r="BI185" t="s">
        <v>498</v>
      </c>
      <c r="CG185" t="s">
        <v>55</v>
      </c>
      <c r="CH185" t="s">
        <v>64</v>
      </c>
      <c r="CI185">
        <v>72348</v>
      </c>
      <c r="CJ185" t="s">
        <v>498</v>
      </c>
    </row>
    <row r="186" spans="1:88" x14ac:dyDescent="0.25">
      <c r="A186" t="s">
        <v>14</v>
      </c>
      <c r="B186" t="s">
        <v>181</v>
      </c>
      <c r="C186" t="s">
        <v>182</v>
      </c>
      <c r="D186">
        <v>60856</v>
      </c>
      <c r="E186">
        <v>7</v>
      </c>
      <c r="F186" s="24" t="str">
        <f t="shared" si="32"/>
        <v>2023-11</v>
      </c>
      <c r="O186" t="s">
        <v>75</v>
      </c>
      <c r="P186" t="s">
        <v>188</v>
      </c>
      <c r="Q186">
        <v>8</v>
      </c>
      <c r="AA186">
        <v>60856</v>
      </c>
      <c r="AB186" t="s">
        <v>189</v>
      </c>
      <c r="AC186" t="s">
        <v>385</v>
      </c>
      <c r="AD186">
        <f t="shared" si="29"/>
        <v>2</v>
      </c>
      <c r="AE186">
        <f t="shared" si="30"/>
        <v>126120</v>
      </c>
      <c r="AG186" t="s">
        <v>75</v>
      </c>
      <c r="AH186" t="s">
        <v>188</v>
      </c>
      <c r="AI186" t="s">
        <v>231</v>
      </c>
      <c r="AJ186">
        <f t="shared" si="33"/>
        <v>6</v>
      </c>
      <c r="BF186" t="s">
        <v>188</v>
      </c>
      <c r="BG186" t="s">
        <v>75</v>
      </c>
      <c r="BH186">
        <v>8</v>
      </c>
      <c r="BI186" t="s">
        <v>498</v>
      </c>
      <c r="CG186" t="s">
        <v>14</v>
      </c>
      <c r="CH186" t="s">
        <v>181</v>
      </c>
      <c r="CI186">
        <v>60856</v>
      </c>
      <c r="CJ186" t="s">
        <v>498</v>
      </c>
    </row>
    <row r="187" spans="1:88" x14ac:dyDescent="0.25">
      <c r="A187" t="s">
        <v>55</v>
      </c>
      <c r="B187" t="s">
        <v>92</v>
      </c>
      <c r="C187" t="s">
        <v>182</v>
      </c>
      <c r="D187">
        <v>27115</v>
      </c>
      <c r="E187">
        <v>3</v>
      </c>
      <c r="F187" s="24" t="str">
        <f t="shared" si="32"/>
        <v>2023-11</v>
      </c>
      <c r="O187" t="s">
        <v>37</v>
      </c>
      <c r="P187" t="s">
        <v>86</v>
      </c>
      <c r="Q187">
        <v>0</v>
      </c>
      <c r="AA187">
        <v>27115</v>
      </c>
      <c r="AB187" t="s">
        <v>192</v>
      </c>
      <c r="AC187" t="s">
        <v>418</v>
      </c>
      <c r="AD187">
        <f t="shared" si="29"/>
        <v>2</v>
      </c>
      <c r="AE187">
        <f t="shared" si="30"/>
        <v>57645</v>
      </c>
      <c r="AG187" t="s">
        <v>37</v>
      </c>
      <c r="AH187" t="s">
        <v>86</v>
      </c>
      <c r="AI187" t="s">
        <v>9</v>
      </c>
      <c r="AJ187">
        <f t="shared" si="33"/>
        <v>7</v>
      </c>
      <c r="BF187" t="s">
        <v>86</v>
      </c>
      <c r="BG187" t="s">
        <v>37</v>
      </c>
      <c r="BH187">
        <v>0</v>
      </c>
      <c r="BI187" t="s">
        <v>498</v>
      </c>
      <c r="CG187" t="s">
        <v>55</v>
      </c>
      <c r="CH187" t="s">
        <v>92</v>
      </c>
      <c r="CI187">
        <v>27115</v>
      </c>
      <c r="CJ187" t="s">
        <v>498</v>
      </c>
    </row>
    <row r="188" spans="1:88" x14ac:dyDescent="0.25">
      <c r="A188" t="s">
        <v>5</v>
      </c>
      <c r="B188" t="s">
        <v>105</v>
      </c>
      <c r="C188" t="s">
        <v>182</v>
      </c>
      <c r="D188">
        <v>52427</v>
      </c>
      <c r="E188">
        <v>7</v>
      </c>
      <c r="F188" s="24" t="str">
        <f t="shared" si="32"/>
        <v>2023-11</v>
      </c>
      <c r="O188" t="s">
        <v>55</v>
      </c>
      <c r="P188" t="s">
        <v>189</v>
      </c>
      <c r="Q188">
        <v>4</v>
      </c>
      <c r="AA188">
        <v>52427</v>
      </c>
      <c r="AB188" t="s">
        <v>73</v>
      </c>
      <c r="AC188" t="s">
        <v>84</v>
      </c>
      <c r="AD188">
        <f t="shared" si="29"/>
        <v>1</v>
      </c>
      <c r="AE188">
        <f t="shared" si="30"/>
        <v>49245</v>
      </c>
      <c r="AG188" t="s">
        <v>55</v>
      </c>
      <c r="AH188" t="s">
        <v>189</v>
      </c>
      <c r="AI188" t="s">
        <v>12</v>
      </c>
      <c r="AJ188">
        <f t="shared" si="33"/>
        <v>7</v>
      </c>
      <c r="BF188" t="s">
        <v>189</v>
      </c>
      <c r="BG188" t="s">
        <v>55</v>
      </c>
      <c r="BH188">
        <v>4</v>
      </c>
      <c r="BI188" t="s">
        <v>498</v>
      </c>
      <c r="CG188" t="s">
        <v>5</v>
      </c>
      <c r="CH188" t="s">
        <v>105</v>
      </c>
      <c r="CI188">
        <v>52427</v>
      </c>
      <c r="CJ188" t="s">
        <v>498</v>
      </c>
    </row>
    <row r="189" spans="1:88" x14ac:dyDescent="0.25">
      <c r="A189" t="s">
        <v>5</v>
      </c>
      <c r="B189" t="s">
        <v>183</v>
      </c>
      <c r="C189" t="s">
        <v>184</v>
      </c>
      <c r="D189">
        <v>53297</v>
      </c>
      <c r="E189">
        <v>6</v>
      </c>
      <c r="F189" s="24" t="str">
        <f t="shared" si="32"/>
        <v>2023-11</v>
      </c>
      <c r="O189" t="s">
        <v>21</v>
      </c>
      <c r="P189" t="s">
        <v>190</v>
      </c>
      <c r="Q189">
        <v>6</v>
      </c>
      <c r="AA189">
        <v>53297</v>
      </c>
      <c r="AB189" t="s">
        <v>79</v>
      </c>
      <c r="AC189" t="s">
        <v>141</v>
      </c>
      <c r="AD189">
        <f t="shared" si="29"/>
        <v>1</v>
      </c>
      <c r="AE189">
        <f t="shared" si="30"/>
        <v>51089</v>
      </c>
      <c r="AG189" t="s">
        <v>21</v>
      </c>
      <c r="AH189" t="s">
        <v>190</v>
      </c>
      <c r="AI189" t="s">
        <v>109</v>
      </c>
      <c r="AJ189">
        <f t="shared" si="33"/>
        <v>7</v>
      </c>
      <c r="BF189" t="s">
        <v>190</v>
      </c>
      <c r="BG189" t="s">
        <v>21</v>
      </c>
      <c r="BH189">
        <v>6</v>
      </c>
      <c r="BI189" t="s">
        <v>498</v>
      </c>
      <c r="CG189" t="s">
        <v>5</v>
      </c>
      <c r="CH189" t="s">
        <v>183</v>
      </c>
      <c r="CI189">
        <v>53297</v>
      </c>
      <c r="CJ189" t="s">
        <v>498</v>
      </c>
    </row>
    <row r="190" spans="1:88" x14ac:dyDescent="0.25">
      <c r="A190" t="s">
        <v>75</v>
      </c>
      <c r="B190" t="s">
        <v>185</v>
      </c>
      <c r="C190" t="s">
        <v>184</v>
      </c>
      <c r="D190">
        <v>60280</v>
      </c>
      <c r="E190">
        <v>7</v>
      </c>
      <c r="F190" s="24" t="str">
        <f t="shared" si="32"/>
        <v>2023-11</v>
      </c>
      <c r="O190" t="s">
        <v>55</v>
      </c>
      <c r="P190" t="s">
        <v>134</v>
      </c>
      <c r="Q190">
        <v>6</v>
      </c>
      <c r="AA190">
        <v>60280</v>
      </c>
      <c r="AB190" t="s">
        <v>156</v>
      </c>
      <c r="AC190" t="s">
        <v>219</v>
      </c>
      <c r="AD190">
        <f t="shared" si="29"/>
        <v>1</v>
      </c>
      <c r="AE190">
        <f t="shared" si="30"/>
        <v>87346</v>
      </c>
      <c r="AG190" t="s">
        <v>55</v>
      </c>
      <c r="AH190" t="s">
        <v>134</v>
      </c>
      <c r="AI190" t="s">
        <v>119</v>
      </c>
      <c r="AJ190">
        <f t="shared" si="33"/>
        <v>7</v>
      </c>
      <c r="BF190" t="s">
        <v>134</v>
      </c>
      <c r="BG190" t="s">
        <v>55</v>
      </c>
      <c r="BH190">
        <v>6</v>
      </c>
      <c r="BI190" t="s">
        <v>498</v>
      </c>
      <c r="CG190" t="s">
        <v>75</v>
      </c>
      <c r="CH190" t="s">
        <v>185</v>
      </c>
      <c r="CI190">
        <v>60280</v>
      </c>
      <c r="CJ190" t="s">
        <v>498</v>
      </c>
    </row>
    <row r="191" spans="1:88" x14ac:dyDescent="0.25">
      <c r="A191" t="s">
        <v>10</v>
      </c>
      <c r="B191" t="s">
        <v>176</v>
      </c>
      <c r="C191" t="s">
        <v>186</v>
      </c>
      <c r="D191">
        <v>43778</v>
      </c>
      <c r="E191">
        <v>8</v>
      </c>
      <c r="F191" s="24" t="str">
        <f t="shared" si="32"/>
        <v>2023-11</v>
      </c>
      <c r="O191" t="s">
        <v>16</v>
      </c>
      <c r="P191" t="s">
        <v>38</v>
      </c>
      <c r="Q191">
        <v>4</v>
      </c>
      <c r="AA191">
        <v>43778</v>
      </c>
      <c r="AB191" t="s">
        <v>158</v>
      </c>
      <c r="AC191" t="s">
        <v>223</v>
      </c>
      <c r="AD191">
        <f t="shared" si="29"/>
        <v>1</v>
      </c>
      <c r="AE191">
        <f t="shared" si="30"/>
        <v>72139</v>
      </c>
      <c r="AG191" t="s">
        <v>16</v>
      </c>
      <c r="AH191" t="s">
        <v>38</v>
      </c>
      <c r="AI191" t="s">
        <v>130</v>
      </c>
      <c r="AJ191">
        <f t="shared" si="33"/>
        <v>7</v>
      </c>
      <c r="BF191" t="s">
        <v>38</v>
      </c>
      <c r="BG191" t="s">
        <v>16</v>
      </c>
      <c r="BH191">
        <v>4</v>
      </c>
      <c r="BI191" t="s">
        <v>498</v>
      </c>
      <c r="CG191" t="s">
        <v>10</v>
      </c>
      <c r="CH191" t="s">
        <v>176</v>
      </c>
      <c r="CI191">
        <v>43778</v>
      </c>
      <c r="CJ191" t="s">
        <v>498</v>
      </c>
    </row>
    <row r="192" spans="1:88" x14ac:dyDescent="0.25">
      <c r="A192" t="s">
        <v>16</v>
      </c>
      <c r="B192" t="s">
        <v>187</v>
      </c>
      <c r="C192" t="s">
        <v>186</v>
      </c>
      <c r="D192">
        <v>74408</v>
      </c>
      <c r="E192">
        <v>7</v>
      </c>
      <c r="F192" s="24" t="str">
        <f t="shared" si="32"/>
        <v>2023-11</v>
      </c>
      <c r="O192" t="s">
        <v>55</v>
      </c>
      <c r="P192" t="s">
        <v>192</v>
      </c>
      <c r="Q192">
        <v>10</v>
      </c>
      <c r="AA192">
        <v>74408</v>
      </c>
      <c r="AB192" t="s">
        <v>52</v>
      </c>
      <c r="AC192" t="s">
        <v>232</v>
      </c>
      <c r="AD192">
        <f t="shared" si="29"/>
        <v>1</v>
      </c>
      <c r="AE192">
        <f t="shared" si="30"/>
        <v>62920</v>
      </c>
      <c r="AG192" t="s">
        <v>55</v>
      </c>
      <c r="AH192" t="s">
        <v>192</v>
      </c>
      <c r="AI192" t="s">
        <v>160</v>
      </c>
      <c r="AJ192">
        <f t="shared" si="33"/>
        <v>7</v>
      </c>
      <c r="BF192" t="s">
        <v>192</v>
      </c>
      <c r="BG192" t="s">
        <v>55</v>
      </c>
      <c r="BH192">
        <v>10</v>
      </c>
      <c r="BI192" t="s">
        <v>498</v>
      </c>
      <c r="CG192" t="s">
        <v>16</v>
      </c>
      <c r="CH192" t="s">
        <v>187</v>
      </c>
      <c r="CI192">
        <v>74408</v>
      </c>
      <c r="CJ192" t="s">
        <v>498</v>
      </c>
    </row>
    <row r="193" spans="1:88" x14ac:dyDescent="0.25">
      <c r="A193" t="s">
        <v>5</v>
      </c>
      <c r="B193" t="s">
        <v>149</v>
      </c>
      <c r="C193" t="s">
        <v>186</v>
      </c>
      <c r="D193">
        <v>94485</v>
      </c>
      <c r="E193">
        <v>8</v>
      </c>
      <c r="F193" s="24" t="str">
        <f t="shared" si="32"/>
        <v>2023-11</v>
      </c>
      <c r="O193" t="s">
        <v>37</v>
      </c>
      <c r="P193" t="s">
        <v>193</v>
      </c>
      <c r="Q193">
        <v>4</v>
      </c>
      <c r="AA193">
        <v>94485</v>
      </c>
      <c r="AB193" t="s">
        <v>22</v>
      </c>
      <c r="AC193" t="s">
        <v>261</v>
      </c>
      <c r="AD193">
        <f t="shared" si="29"/>
        <v>1</v>
      </c>
      <c r="AE193">
        <f t="shared" si="30"/>
        <v>49201</v>
      </c>
      <c r="AG193" t="s">
        <v>37</v>
      </c>
      <c r="AH193" t="s">
        <v>193</v>
      </c>
      <c r="AI193" t="s">
        <v>170</v>
      </c>
      <c r="AJ193">
        <f t="shared" si="33"/>
        <v>7</v>
      </c>
      <c r="BF193" t="s">
        <v>193</v>
      </c>
      <c r="BG193" t="s">
        <v>37</v>
      </c>
      <c r="BH193">
        <v>4</v>
      </c>
      <c r="BI193" t="s">
        <v>498</v>
      </c>
      <c r="CG193" t="s">
        <v>5</v>
      </c>
      <c r="CH193" t="s">
        <v>149</v>
      </c>
      <c r="CI193">
        <v>94485</v>
      </c>
      <c r="CJ193" t="s">
        <v>498</v>
      </c>
    </row>
    <row r="194" spans="1:88" x14ac:dyDescent="0.25">
      <c r="A194" t="s">
        <v>75</v>
      </c>
      <c r="B194" t="s">
        <v>188</v>
      </c>
      <c r="C194" t="s">
        <v>186</v>
      </c>
      <c r="D194">
        <v>38816</v>
      </c>
      <c r="E194">
        <v>8</v>
      </c>
      <c r="F194" s="24" t="str">
        <f t="shared" si="32"/>
        <v>2023-11</v>
      </c>
      <c r="O194" t="s">
        <v>37</v>
      </c>
      <c r="P194" t="s">
        <v>194</v>
      </c>
      <c r="Q194">
        <v>7</v>
      </c>
      <c r="AA194">
        <v>38816</v>
      </c>
      <c r="AB194" t="s">
        <v>31</v>
      </c>
      <c r="AC194" t="s">
        <v>266</v>
      </c>
      <c r="AD194">
        <f t="shared" ref="AD194:AD257" si="34">COUNTIF(AB:AB,AC194)</f>
        <v>1</v>
      </c>
      <c r="AE194">
        <f t="shared" ref="AE194:AE257" si="35">SUMIF(AB:AB,AC194,AA:AA)</f>
        <v>61112</v>
      </c>
      <c r="AG194" t="s">
        <v>37</v>
      </c>
      <c r="AH194" t="s">
        <v>194</v>
      </c>
      <c r="AI194" t="s">
        <v>196</v>
      </c>
      <c r="AJ194">
        <f t="shared" ref="AJ194:AJ225" si="36">COUNTIF(AH:AH,AI194)</f>
        <v>7</v>
      </c>
      <c r="BF194" t="s">
        <v>194</v>
      </c>
      <c r="BG194" t="s">
        <v>37</v>
      </c>
      <c r="BH194">
        <v>7</v>
      </c>
      <c r="BI194" t="s">
        <v>498</v>
      </c>
      <c r="CG194" t="s">
        <v>75</v>
      </c>
      <c r="CH194" t="s">
        <v>188</v>
      </c>
      <c r="CI194">
        <v>38816</v>
      </c>
      <c r="CJ194" t="s">
        <v>498</v>
      </c>
    </row>
    <row r="195" spans="1:88" x14ac:dyDescent="0.25">
      <c r="A195" t="s">
        <v>37</v>
      </c>
      <c r="B195" t="s">
        <v>86</v>
      </c>
      <c r="C195" t="s">
        <v>186</v>
      </c>
      <c r="D195">
        <v>63234</v>
      </c>
      <c r="E195">
        <v>0</v>
      </c>
      <c r="F195" s="24" t="str">
        <f t="shared" ref="F195:F258" si="37">YEAR(C195)&amp;"-"&amp;MONTH(C195)</f>
        <v>2023-11</v>
      </c>
      <c r="O195" t="s">
        <v>8</v>
      </c>
      <c r="P195" t="s">
        <v>43</v>
      </c>
      <c r="Q195">
        <v>7</v>
      </c>
      <c r="AA195">
        <v>63234</v>
      </c>
      <c r="AB195" t="s">
        <v>82</v>
      </c>
      <c r="AC195" t="s">
        <v>305</v>
      </c>
      <c r="AD195">
        <f t="shared" si="34"/>
        <v>1</v>
      </c>
      <c r="AE195">
        <f t="shared" si="35"/>
        <v>96732</v>
      </c>
      <c r="AG195" t="s">
        <v>8</v>
      </c>
      <c r="AH195" t="s">
        <v>43</v>
      </c>
      <c r="AI195" t="s">
        <v>18</v>
      </c>
      <c r="AJ195">
        <f t="shared" si="36"/>
        <v>8</v>
      </c>
      <c r="BF195" t="s">
        <v>43</v>
      </c>
      <c r="BG195" t="s">
        <v>8</v>
      </c>
      <c r="BH195">
        <v>7</v>
      </c>
      <c r="BI195" t="s">
        <v>498</v>
      </c>
      <c r="CG195" t="s">
        <v>37</v>
      </c>
      <c r="CH195" t="s">
        <v>86</v>
      </c>
      <c r="CI195">
        <v>63234</v>
      </c>
      <c r="CJ195" t="s">
        <v>498</v>
      </c>
    </row>
    <row r="196" spans="1:88" x14ac:dyDescent="0.25">
      <c r="A196" t="s">
        <v>55</v>
      </c>
      <c r="B196" t="s">
        <v>189</v>
      </c>
      <c r="C196" t="s">
        <v>186</v>
      </c>
      <c r="D196">
        <v>87383</v>
      </c>
      <c r="E196">
        <v>4</v>
      </c>
      <c r="F196" s="24" t="str">
        <f t="shared" si="37"/>
        <v>2023-11</v>
      </c>
      <c r="O196" t="s">
        <v>10</v>
      </c>
      <c r="P196" t="s">
        <v>196</v>
      </c>
      <c r="Q196">
        <v>1</v>
      </c>
      <c r="AA196">
        <v>87383</v>
      </c>
      <c r="AB196" t="s">
        <v>183</v>
      </c>
      <c r="AC196" t="s">
        <v>327</v>
      </c>
      <c r="AD196">
        <f t="shared" si="34"/>
        <v>1</v>
      </c>
      <c r="AE196">
        <f t="shared" si="35"/>
        <v>63736</v>
      </c>
      <c r="AG196" t="s">
        <v>10</v>
      </c>
      <c r="AH196" t="s">
        <v>196</v>
      </c>
      <c r="AI196" t="s">
        <v>50</v>
      </c>
      <c r="AJ196">
        <f t="shared" si="36"/>
        <v>8</v>
      </c>
      <c r="BF196" t="s">
        <v>196</v>
      </c>
      <c r="BG196" t="s">
        <v>10</v>
      </c>
      <c r="BH196">
        <v>1</v>
      </c>
      <c r="BI196" t="s">
        <v>498</v>
      </c>
      <c r="CG196" t="s">
        <v>55</v>
      </c>
      <c r="CH196" t="s">
        <v>189</v>
      </c>
      <c r="CI196">
        <v>87383</v>
      </c>
      <c r="CJ196" t="s">
        <v>498</v>
      </c>
    </row>
    <row r="197" spans="1:88" x14ac:dyDescent="0.25">
      <c r="A197" t="s">
        <v>21</v>
      </c>
      <c r="B197" t="s">
        <v>190</v>
      </c>
      <c r="C197" t="s">
        <v>186</v>
      </c>
      <c r="D197">
        <v>20934</v>
      </c>
      <c r="E197">
        <v>6</v>
      </c>
      <c r="F197" s="24" t="str">
        <f t="shared" si="37"/>
        <v>2023-11</v>
      </c>
      <c r="O197" t="s">
        <v>8</v>
      </c>
      <c r="P197" t="s">
        <v>17</v>
      </c>
      <c r="Q197">
        <v>10</v>
      </c>
      <c r="AA197">
        <v>20934</v>
      </c>
      <c r="AB197" t="s">
        <v>149</v>
      </c>
      <c r="AC197" t="s">
        <v>361</v>
      </c>
      <c r="AD197">
        <f t="shared" si="34"/>
        <v>1</v>
      </c>
      <c r="AE197">
        <f t="shared" si="35"/>
        <v>88287</v>
      </c>
      <c r="AG197" t="s">
        <v>8</v>
      </c>
      <c r="AH197" t="s">
        <v>17</v>
      </c>
      <c r="AI197" t="s">
        <v>81</v>
      </c>
      <c r="AJ197">
        <f t="shared" si="36"/>
        <v>9</v>
      </c>
      <c r="BF197" t="s">
        <v>17</v>
      </c>
      <c r="BG197" t="s">
        <v>8</v>
      </c>
      <c r="BH197">
        <v>10</v>
      </c>
      <c r="BI197" t="s">
        <v>498</v>
      </c>
      <c r="CG197" t="s">
        <v>21</v>
      </c>
      <c r="CH197" t="s">
        <v>190</v>
      </c>
      <c r="CI197">
        <v>20934</v>
      </c>
      <c r="CJ197" t="s">
        <v>498</v>
      </c>
    </row>
    <row r="198" spans="1:88" x14ac:dyDescent="0.25">
      <c r="A198" t="s">
        <v>37</v>
      </c>
      <c r="B198" t="s">
        <v>39</v>
      </c>
      <c r="C198" t="s">
        <v>186</v>
      </c>
      <c r="D198">
        <v>74504</v>
      </c>
      <c r="E198">
        <v>9</v>
      </c>
      <c r="F198" s="24" t="str">
        <f t="shared" si="37"/>
        <v>2023-11</v>
      </c>
      <c r="O198" t="s">
        <v>5</v>
      </c>
      <c r="P198" t="s">
        <v>197</v>
      </c>
      <c r="Q198">
        <v>6</v>
      </c>
      <c r="AA198">
        <v>74504</v>
      </c>
      <c r="AB198" t="s">
        <v>86</v>
      </c>
      <c r="AC198" t="s">
        <v>371</v>
      </c>
      <c r="AD198">
        <f t="shared" si="34"/>
        <v>1</v>
      </c>
      <c r="AE198">
        <f t="shared" si="35"/>
        <v>48130</v>
      </c>
      <c r="AG198" t="s">
        <v>5</v>
      </c>
      <c r="AH198" t="s">
        <v>197</v>
      </c>
      <c r="AI198" t="s">
        <v>82</v>
      </c>
      <c r="AJ198">
        <f t="shared" si="36"/>
        <v>9</v>
      </c>
      <c r="BF198" t="s">
        <v>197</v>
      </c>
      <c r="BG198" t="s">
        <v>5</v>
      </c>
      <c r="BH198">
        <v>6</v>
      </c>
      <c r="BI198" t="s">
        <v>498</v>
      </c>
      <c r="CG198" t="s">
        <v>37</v>
      </c>
      <c r="CH198" t="s">
        <v>39</v>
      </c>
      <c r="CI198">
        <v>74504</v>
      </c>
      <c r="CJ198" t="s">
        <v>498</v>
      </c>
    </row>
    <row r="199" spans="1:88" x14ac:dyDescent="0.25">
      <c r="A199" t="s">
        <v>55</v>
      </c>
      <c r="B199" t="s">
        <v>134</v>
      </c>
      <c r="C199" t="s">
        <v>191</v>
      </c>
      <c r="D199">
        <v>20459</v>
      </c>
      <c r="E199">
        <v>6</v>
      </c>
      <c r="F199" s="24" t="str">
        <f t="shared" si="37"/>
        <v>2023-11</v>
      </c>
      <c r="O199" t="s">
        <v>75</v>
      </c>
      <c r="P199" t="s">
        <v>90</v>
      </c>
      <c r="Q199">
        <v>4</v>
      </c>
      <c r="AA199">
        <v>20459</v>
      </c>
      <c r="AB199" t="s">
        <v>190</v>
      </c>
      <c r="AC199" t="s">
        <v>391</v>
      </c>
      <c r="AD199">
        <f t="shared" si="34"/>
        <v>1</v>
      </c>
      <c r="AE199">
        <f t="shared" si="35"/>
        <v>82870</v>
      </c>
      <c r="AG199" t="s">
        <v>75</v>
      </c>
      <c r="AH199" t="s">
        <v>90</v>
      </c>
      <c r="AI199" t="s">
        <v>100</v>
      </c>
      <c r="AJ199">
        <f t="shared" si="36"/>
        <v>9</v>
      </c>
      <c r="BF199" t="s">
        <v>90</v>
      </c>
      <c r="BG199" t="s">
        <v>75</v>
      </c>
      <c r="BH199">
        <v>4</v>
      </c>
      <c r="BI199" t="s">
        <v>498</v>
      </c>
      <c r="CG199" t="s">
        <v>55</v>
      </c>
      <c r="CH199" t="s">
        <v>134</v>
      </c>
      <c r="CI199">
        <v>20459</v>
      </c>
      <c r="CJ199" t="s">
        <v>498</v>
      </c>
    </row>
    <row r="200" spans="1:88" x14ac:dyDescent="0.25">
      <c r="A200" t="s">
        <v>16</v>
      </c>
      <c r="B200" t="s">
        <v>38</v>
      </c>
      <c r="C200" t="s">
        <v>191</v>
      </c>
      <c r="D200">
        <v>77994</v>
      </c>
      <c r="E200">
        <v>4</v>
      </c>
      <c r="F200" s="24" t="str">
        <f t="shared" si="37"/>
        <v>2023-11</v>
      </c>
      <c r="O200" t="s">
        <v>16</v>
      </c>
      <c r="P200" t="s">
        <v>183</v>
      </c>
      <c r="Q200">
        <v>7</v>
      </c>
      <c r="AA200">
        <v>77994</v>
      </c>
      <c r="AB200" t="s">
        <v>134</v>
      </c>
      <c r="AC200" t="s">
        <v>405</v>
      </c>
      <c r="AD200">
        <f t="shared" si="34"/>
        <v>1</v>
      </c>
      <c r="AE200">
        <f t="shared" si="35"/>
        <v>12745</v>
      </c>
      <c r="AG200" t="s">
        <v>16</v>
      </c>
      <c r="AH200" t="s">
        <v>183</v>
      </c>
      <c r="AI200" t="s">
        <v>39</v>
      </c>
      <c r="AJ200">
        <f t="shared" si="36"/>
        <v>10</v>
      </c>
      <c r="BF200" t="s">
        <v>183</v>
      </c>
      <c r="BG200" t="s">
        <v>16</v>
      </c>
      <c r="BH200">
        <v>7</v>
      </c>
      <c r="BI200" t="s">
        <v>498</v>
      </c>
      <c r="CG200" t="s">
        <v>16</v>
      </c>
      <c r="CH200" t="s">
        <v>38</v>
      </c>
      <c r="CI200">
        <v>77994</v>
      </c>
      <c r="CJ200" t="s">
        <v>498</v>
      </c>
    </row>
    <row r="201" spans="1:88" x14ac:dyDescent="0.25">
      <c r="A201" t="s">
        <v>55</v>
      </c>
      <c r="B201" t="s">
        <v>192</v>
      </c>
      <c r="C201" t="s">
        <v>191</v>
      </c>
      <c r="D201">
        <v>40170</v>
      </c>
      <c r="E201">
        <v>10</v>
      </c>
      <c r="F201" s="24" t="str">
        <f t="shared" si="37"/>
        <v>2023-11</v>
      </c>
      <c r="O201" t="s">
        <v>75</v>
      </c>
      <c r="P201" t="s">
        <v>200</v>
      </c>
      <c r="Q201">
        <v>0</v>
      </c>
      <c r="AA201">
        <v>40170</v>
      </c>
      <c r="AB201" t="s">
        <v>38</v>
      </c>
      <c r="AC201" t="s">
        <v>409</v>
      </c>
      <c r="AD201">
        <f t="shared" si="34"/>
        <v>1</v>
      </c>
      <c r="AE201">
        <f t="shared" si="35"/>
        <v>20927</v>
      </c>
      <c r="AG201" t="s">
        <v>75</v>
      </c>
      <c r="AH201" t="s">
        <v>200</v>
      </c>
      <c r="AI201" t="s">
        <v>88</v>
      </c>
      <c r="AJ201">
        <f t="shared" si="36"/>
        <v>10</v>
      </c>
      <c r="BF201" t="s">
        <v>200</v>
      </c>
      <c r="BG201" t="s">
        <v>75</v>
      </c>
      <c r="BH201">
        <v>0</v>
      </c>
      <c r="BI201" t="s">
        <v>498</v>
      </c>
      <c r="CG201" t="s">
        <v>55</v>
      </c>
      <c r="CH201" t="s">
        <v>192</v>
      </c>
      <c r="CI201">
        <v>40170</v>
      </c>
      <c r="CJ201" t="s">
        <v>498</v>
      </c>
    </row>
    <row r="202" spans="1:88" x14ac:dyDescent="0.25">
      <c r="A202" t="s">
        <v>37</v>
      </c>
      <c r="B202" t="s">
        <v>193</v>
      </c>
      <c r="C202" t="s">
        <v>191</v>
      </c>
      <c r="D202">
        <v>71203</v>
      </c>
      <c r="E202">
        <v>4</v>
      </c>
      <c r="F202" s="24" t="str">
        <f t="shared" si="37"/>
        <v>2023-11</v>
      </c>
      <c r="O202" t="s">
        <v>14</v>
      </c>
      <c r="P202" t="s">
        <v>18</v>
      </c>
      <c r="Q202">
        <v>5</v>
      </c>
      <c r="AA202">
        <v>71203</v>
      </c>
      <c r="AB202" t="s">
        <v>193</v>
      </c>
      <c r="AD202">
        <f t="shared" si="34"/>
        <v>0</v>
      </c>
      <c r="AE202">
        <f t="shared" si="35"/>
        <v>0</v>
      </c>
      <c r="AG202" t="s">
        <v>14</v>
      </c>
      <c r="AH202" t="s">
        <v>18</v>
      </c>
      <c r="BF202" t="s">
        <v>18</v>
      </c>
      <c r="BG202" t="s">
        <v>14</v>
      </c>
      <c r="BH202">
        <v>5</v>
      </c>
      <c r="BI202" t="s">
        <v>498</v>
      </c>
      <c r="CG202" t="s">
        <v>37</v>
      </c>
      <c r="CH202" t="s">
        <v>193</v>
      </c>
      <c r="CI202">
        <v>71203</v>
      </c>
      <c r="CJ202" t="s">
        <v>498</v>
      </c>
    </row>
    <row r="203" spans="1:88" x14ac:dyDescent="0.25">
      <c r="A203" t="s">
        <v>37</v>
      </c>
      <c r="B203" t="s">
        <v>194</v>
      </c>
      <c r="C203" t="s">
        <v>195</v>
      </c>
      <c r="D203">
        <v>97722</v>
      </c>
      <c r="E203">
        <v>7</v>
      </c>
      <c r="F203" s="24" t="str">
        <f t="shared" si="37"/>
        <v>2023-11</v>
      </c>
      <c r="O203" t="s">
        <v>53</v>
      </c>
      <c r="P203" t="s">
        <v>89</v>
      </c>
      <c r="Q203">
        <v>6</v>
      </c>
      <c r="AA203">
        <v>97722</v>
      </c>
      <c r="AB203" t="s">
        <v>194</v>
      </c>
      <c r="AD203">
        <f t="shared" si="34"/>
        <v>0</v>
      </c>
      <c r="AE203">
        <f t="shared" si="35"/>
        <v>0</v>
      </c>
      <c r="AG203" t="s">
        <v>53</v>
      </c>
      <c r="AH203" t="s">
        <v>89</v>
      </c>
      <c r="BF203" t="s">
        <v>89</v>
      </c>
      <c r="BG203" t="s">
        <v>53</v>
      </c>
      <c r="BH203">
        <v>6</v>
      </c>
      <c r="BI203" t="s">
        <v>498</v>
      </c>
      <c r="CG203" t="s">
        <v>37</v>
      </c>
      <c r="CH203" t="s">
        <v>194</v>
      </c>
      <c r="CI203">
        <v>97722</v>
      </c>
      <c r="CJ203" t="s">
        <v>498</v>
      </c>
    </row>
    <row r="204" spans="1:88" x14ac:dyDescent="0.25">
      <c r="A204" t="s">
        <v>8</v>
      </c>
      <c r="B204" t="s">
        <v>43</v>
      </c>
      <c r="C204" t="s">
        <v>195</v>
      </c>
      <c r="D204">
        <v>80371</v>
      </c>
      <c r="E204">
        <v>7</v>
      </c>
      <c r="F204" s="24" t="str">
        <f t="shared" si="37"/>
        <v>2023-11</v>
      </c>
      <c r="O204" t="s">
        <v>14</v>
      </c>
      <c r="P204" t="s">
        <v>45</v>
      </c>
      <c r="Q204">
        <v>6</v>
      </c>
      <c r="AA204">
        <v>80371</v>
      </c>
      <c r="AB204" t="s">
        <v>43</v>
      </c>
      <c r="AD204">
        <f t="shared" si="34"/>
        <v>0</v>
      </c>
      <c r="AE204">
        <f t="shared" si="35"/>
        <v>0</v>
      </c>
      <c r="AG204" t="s">
        <v>14</v>
      </c>
      <c r="AH204" t="s">
        <v>45</v>
      </c>
      <c r="BF204" t="s">
        <v>45</v>
      </c>
      <c r="BG204" t="s">
        <v>14</v>
      </c>
      <c r="BH204">
        <v>6</v>
      </c>
      <c r="BI204" t="s">
        <v>498</v>
      </c>
      <c r="CG204" t="s">
        <v>8</v>
      </c>
      <c r="CH204" t="s">
        <v>43</v>
      </c>
      <c r="CI204">
        <v>80371</v>
      </c>
      <c r="CJ204" t="s">
        <v>498</v>
      </c>
    </row>
    <row r="205" spans="1:88" x14ac:dyDescent="0.25">
      <c r="A205" t="s">
        <v>10</v>
      </c>
      <c r="B205" t="s">
        <v>196</v>
      </c>
      <c r="C205" t="s">
        <v>195</v>
      </c>
      <c r="D205">
        <v>88977</v>
      </c>
      <c r="E205">
        <v>1</v>
      </c>
      <c r="F205" s="24" t="str">
        <f t="shared" si="37"/>
        <v>2023-11</v>
      </c>
      <c r="O205" t="s">
        <v>5</v>
      </c>
      <c r="P205" t="s">
        <v>25</v>
      </c>
      <c r="Q205">
        <v>2</v>
      </c>
      <c r="AA205">
        <v>88977</v>
      </c>
      <c r="AB205" t="s">
        <v>196</v>
      </c>
      <c r="AD205">
        <f t="shared" si="34"/>
        <v>0</v>
      </c>
      <c r="AE205">
        <f t="shared" si="35"/>
        <v>0</v>
      </c>
      <c r="AG205" t="s">
        <v>5</v>
      </c>
      <c r="AH205" t="s">
        <v>25</v>
      </c>
      <c r="BF205" t="s">
        <v>25</v>
      </c>
      <c r="BG205" t="s">
        <v>5</v>
      </c>
      <c r="BH205">
        <v>2</v>
      </c>
      <c r="BI205" t="s">
        <v>498</v>
      </c>
      <c r="CG205" t="s">
        <v>10</v>
      </c>
      <c r="CH205" t="s">
        <v>196</v>
      </c>
      <c r="CI205">
        <v>88977</v>
      </c>
      <c r="CJ205" t="s">
        <v>498</v>
      </c>
    </row>
    <row r="206" spans="1:88" x14ac:dyDescent="0.25">
      <c r="A206" t="s">
        <v>8</v>
      </c>
      <c r="B206" t="s">
        <v>17</v>
      </c>
      <c r="C206" t="s">
        <v>195</v>
      </c>
      <c r="D206">
        <v>78772</v>
      </c>
      <c r="E206">
        <v>10</v>
      </c>
      <c r="F206" s="24" t="str">
        <f t="shared" si="37"/>
        <v>2023-11</v>
      </c>
      <c r="O206" t="s">
        <v>16</v>
      </c>
      <c r="P206" t="s">
        <v>202</v>
      </c>
      <c r="Q206">
        <v>8</v>
      </c>
      <c r="AA206">
        <v>78772</v>
      </c>
      <c r="AB206" t="s">
        <v>17</v>
      </c>
      <c r="AD206">
        <f t="shared" si="34"/>
        <v>0</v>
      </c>
      <c r="AE206">
        <f t="shared" si="35"/>
        <v>0</v>
      </c>
      <c r="AG206" t="s">
        <v>16</v>
      </c>
      <c r="AH206" t="s">
        <v>202</v>
      </c>
      <c r="BF206" t="s">
        <v>202</v>
      </c>
      <c r="BG206" t="s">
        <v>16</v>
      </c>
      <c r="BH206">
        <v>8</v>
      </c>
      <c r="BI206" t="s">
        <v>498</v>
      </c>
      <c r="CG206" t="s">
        <v>8</v>
      </c>
      <c r="CH206" t="s">
        <v>17</v>
      </c>
      <c r="CI206">
        <v>78772</v>
      </c>
      <c r="CJ206" t="s">
        <v>498</v>
      </c>
    </row>
    <row r="207" spans="1:88" x14ac:dyDescent="0.25">
      <c r="A207" t="s">
        <v>5</v>
      </c>
      <c r="B207" t="s">
        <v>197</v>
      </c>
      <c r="C207" t="s">
        <v>198</v>
      </c>
      <c r="D207">
        <v>18866</v>
      </c>
      <c r="E207">
        <v>6</v>
      </c>
      <c r="F207" s="24" t="str">
        <f t="shared" si="37"/>
        <v>2023-11</v>
      </c>
      <c r="O207" t="s">
        <v>37</v>
      </c>
      <c r="P207" t="s">
        <v>203</v>
      </c>
      <c r="Q207">
        <v>8</v>
      </c>
      <c r="AA207">
        <v>18866</v>
      </c>
      <c r="AB207" t="s">
        <v>197</v>
      </c>
      <c r="AD207">
        <f t="shared" si="34"/>
        <v>0</v>
      </c>
      <c r="AE207">
        <f t="shared" si="35"/>
        <v>0</v>
      </c>
      <c r="AG207" t="s">
        <v>37</v>
      </c>
      <c r="AH207" t="s">
        <v>203</v>
      </c>
      <c r="BF207" t="s">
        <v>203</v>
      </c>
      <c r="BG207" t="s">
        <v>37</v>
      </c>
      <c r="BH207">
        <v>8</v>
      </c>
      <c r="BI207" t="s">
        <v>498</v>
      </c>
      <c r="CG207" t="s">
        <v>5</v>
      </c>
      <c r="CH207" t="s">
        <v>197</v>
      </c>
      <c r="CI207">
        <v>18866</v>
      </c>
      <c r="CJ207" t="s">
        <v>498</v>
      </c>
    </row>
    <row r="208" spans="1:88" x14ac:dyDescent="0.25">
      <c r="A208" t="s">
        <v>75</v>
      </c>
      <c r="B208" t="s">
        <v>90</v>
      </c>
      <c r="C208" t="s">
        <v>198</v>
      </c>
      <c r="D208">
        <v>73935</v>
      </c>
      <c r="E208">
        <v>4</v>
      </c>
      <c r="F208" s="24" t="str">
        <f t="shared" si="37"/>
        <v>2023-11</v>
      </c>
      <c r="O208" t="s">
        <v>10</v>
      </c>
      <c r="P208" t="s">
        <v>185</v>
      </c>
      <c r="Q208">
        <v>9</v>
      </c>
      <c r="AA208">
        <v>73935</v>
      </c>
      <c r="AB208" t="s">
        <v>90</v>
      </c>
      <c r="AD208">
        <f t="shared" si="34"/>
        <v>0</v>
      </c>
      <c r="AE208">
        <f t="shared" si="35"/>
        <v>0</v>
      </c>
      <c r="AG208" t="s">
        <v>10</v>
      </c>
      <c r="AH208" t="s">
        <v>185</v>
      </c>
      <c r="BF208" t="s">
        <v>185</v>
      </c>
      <c r="BG208" t="s">
        <v>10</v>
      </c>
      <c r="BH208">
        <v>9</v>
      </c>
      <c r="BI208" t="s">
        <v>498</v>
      </c>
      <c r="CG208" t="s">
        <v>75</v>
      </c>
      <c r="CH208" t="s">
        <v>90</v>
      </c>
      <c r="CI208">
        <v>73935</v>
      </c>
      <c r="CJ208" t="s">
        <v>498</v>
      </c>
    </row>
    <row r="209" spans="1:88" x14ac:dyDescent="0.25">
      <c r="A209" t="s">
        <v>16</v>
      </c>
      <c r="B209" t="s">
        <v>183</v>
      </c>
      <c r="C209" t="s">
        <v>199</v>
      </c>
      <c r="D209">
        <v>52365</v>
      </c>
      <c r="E209">
        <v>7</v>
      </c>
      <c r="F209" s="24" t="str">
        <f t="shared" si="37"/>
        <v>2023-11</v>
      </c>
      <c r="O209" t="s">
        <v>10</v>
      </c>
      <c r="P209" t="s">
        <v>90</v>
      </c>
      <c r="Q209">
        <v>8</v>
      </c>
      <c r="AA209">
        <v>52365</v>
      </c>
      <c r="AB209" t="s">
        <v>183</v>
      </c>
      <c r="AD209">
        <f t="shared" si="34"/>
        <v>0</v>
      </c>
      <c r="AE209">
        <f t="shared" si="35"/>
        <v>0</v>
      </c>
      <c r="AG209" t="s">
        <v>10</v>
      </c>
      <c r="AH209" t="s">
        <v>90</v>
      </c>
      <c r="BF209" t="s">
        <v>90</v>
      </c>
      <c r="BG209" t="s">
        <v>10</v>
      </c>
      <c r="BH209">
        <v>8</v>
      </c>
      <c r="BI209" t="s">
        <v>498</v>
      </c>
      <c r="CG209" t="s">
        <v>16</v>
      </c>
      <c r="CH209" t="s">
        <v>183</v>
      </c>
      <c r="CI209">
        <v>52365</v>
      </c>
      <c r="CJ209" t="s">
        <v>498</v>
      </c>
    </row>
    <row r="210" spans="1:88" x14ac:dyDescent="0.25">
      <c r="A210" t="s">
        <v>75</v>
      </c>
      <c r="B210" t="s">
        <v>200</v>
      </c>
      <c r="C210" t="s">
        <v>199</v>
      </c>
      <c r="D210">
        <v>89854</v>
      </c>
      <c r="E210">
        <v>0</v>
      </c>
      <c r="F210" s="24" t="str">
        <f t="shared" si="37"/>
        <v>2023-11</v>
      </c>
      <c r="O210" t="s">
        <v>14</v>
      </c>
      <c r="P210" t="s">
        <v>71</v>
      </c>
      <c r="Q210">
        <v>2</v>
      </c>
      <c r="AA210">
        <v>89854</v>
      </c>
      <c r="AB210" t="s">
        <v>200</v>
      </c>
      <c r="AD210">
        <f t="shared" si="34"/>
        <v>0</v>
      </c>
      <c r="AE210">
        <f t="shared" si="35"/>
        <v>0</v>
      </c>
      <c r="AG210" t="s">
        <v>14</v>
      </c>
      <c r="AH210" t="s">
        <v>71</v>
      </c>
      <c r="BF210" t="s">
        <v>71</v>
      </c>
      <c r="BG210" t="s">
        <v>14</v>
      </c>
      <c r="BH210">
        <v>2</v>
      </c>
      <c r="BI210" t="s">
        <v>498</v>
      </c>
      <c r="CG210" t="s">
        <v>75</v>
      </c>
      <c r="CH210" t="s">
        <v>200</v>
      </c>
      <c r="CI210">
        <v>89854</v>
      </c>
      <c r="CJ210" t="s">
        <v>498</v>
      </c>
    </row>
    <row r="211" spans="1:88" x14ac:dyDescent="0.25">
      <c r="A211" t="s">
        <v>14</v>
      </c>
      <c r="B211" t="s">
        <v>18</v>
      </c>
      <c r="C211" t="s">
        <v>199</v>
      </c>
      <c r="D211">
        <v>61297</v>
      </c>
      <c r="E211">
        <v>5</v>
      </c>
      <c r="F211" s="24" t="str">
        <f t="shared" si="37"/>
        <v>2023-11</v>
      </c>
      <c r="O211" t="s">
        <v>35</v>
      </c>
      <c r="P211" t="s">
        <v>206</v>
      </c>
      <c r="Q211">
        <v>2</v>
      </c>
      <c r="AA211">
        <v>61297</v>
      </c>
      <c r="AB211" t="s">
        <v>18</v>
      </c>
      <c r="AD211">
        <f t="shared" si="34"/>
        <v>0</v>
      </c>
      <c r="AE211">
        <f t="shared" si="35"/>
        <v>0</v>
      </c>
      <c r="AG211" t="s">
        <v>35</v>
      </c>
      <c r="AH211" t="s">
        <v>206</v>
      </c>
      <c r="BF211" t="s">
        <v>206</v>
      </c>
      <c r="BG211" t="s">
        <v>35</v>
      </c>
      <c r="BH211">
        <v>2</v>
      </c>
      <c r="BI211" t="s">
        <v>498</v>
      </c>
      <c r="CG211" t="s">
        <v>14</v>
      </c>
      <c r="CH211" t="s">
        <v>18</v>
      </c>
      <c r="CI211">
        <v>61297</v>
      </c>
      <c r="CJ211" t="s">
        <v>498</v>
      </c>
    </row>
    <row r="212" spans="1:88" x14ac:dyDescent="0.25">
      <c r="A212" t="s">
        <v>53</v>
      </c>
      <c r="B212" t="s">
        <v>89</v>
      </c>
      <c r="C212" t="s">
        <v>199</v>
      </c>
      <c r="D212">
        <v>19145</v>
      </c>
      <c r="E212">
        <v>6</v>
      </c>
      <c r="F212" s="24" t="str">
        <f t="shared" si="37"/>
        <v>2023-11</v>
      </c>
      <c r="O212" t="s">
        <v>10</v>
      </c>
      <c r="P212" t="s">
        <v>116</v>
      </c>
      <c r="Q212">
        <v>7</v>
      </c>
      <c r="AA212">
        <v>19145</v>
      </c>
      <c r="AB212" t="s">
        <v>89</v>
      </c>
      <c r="AD212">
        <f t="shared" si="34"/>
        <v>0</v>
      </c>
      <c r="AE212">
        <f t="shared" si="35"/>
        <v>0</v>
      </c>
      <c r="AG212" t="s">
        <v>10</v>
      </c>
      <c r="AH212" t="s">
        <v>116</v>
      </c>
      <c r="BF212" t="s">
        <v>116</v>
      </c>
      <c r="BG212" t="s">
        <v>10</v>
      </c>
      <c r="BH212">
        <v>7</v>
      </c>
      <c r="BI212" t="s">
        <v>498</v>
      </c>
      <c r="CG212" t="s">
        <v>53</v>
      </c>
      <c r="CH212" t="s">
        <v>89</v>
      </c>
      <c r="CI212">
        <v>19145</v>
      </c>
      <c r="CJ212" t="s">
        <v>498</v>
      </c>
    </row>
    <row r="213" spans="1:88" x14ac:dyDescent="0.25">
      <c r="A213" t="s">
        <v>14</v>
      </c>
      <c r="B213" t="s">
        <v>45</v>
      </c>
      <c r="C213" t="s">
        <v>199</v>
      </c>
      <c r="D213">
        <v>10128</v>
      </c>
      <c r="E213">
        <v>6</v>
      </c>
      <c r="F213" s="24" t="str">
        <f t="shared" si="37"/>
        <v>2023-11</v>
      </c>
      <c r="O213" t="s">
        <v>14</v>
      </c>
      <c r="P213" t="s">
        <v>48</v>
      </c>
      <c r="Q213">
        <v>6</v>
      </c>
      <c r="AA213">
        <v>10128</v>
      </c>
      <c r="AB213" t="s">
        <v>45</v>
      </c>
      <c r="AD213">
        <f t="shared" si="34"/>
        <v>0</v>
      </c>
      <c r="AE213">
        <f t="shared" si="35"/>
        <v>0</v>
      </c>
      <c r="AG213" t="s">
        <v>14</v>
      </c>
      <c r="AH213" t="s">
        <v>48</v>
      </c>
      <c r="BF213" t="s">
        <v>48</v>
      </c>
      <c r="BG213" t="s">
        <v>14</v>
      </c>
      <c r="BH213">
        <v>6</v>
      </c>
      <c r="BI213" t="s">
        <v>498</v>
      </c>
      <c r="CG213" t="s">
        <v>14</v>
      </c>
      <c r="CH213" t="s">
        <v>45</v>
      </c>
      <c r="CI213">
        <v>10128</v>
      </c>
      <c r="CJ213" t="s">
        <v>498</v>
      </c>
    </row>
    <row r="214" spans="1:88" x14ac:dyDescent="0.25">
      <c r="A214" t="s">
        <v>5</v>
      </c>
      <c r="B214" t="s">
        <v>25</v>
      </c>
      <c r="C214" t="s">
        <v>201</v>
      </c>
      <c r="D214">
        <v>40430</v>
      </c>
      <c r="E214">
        <v>2</v>
      </c>
      <c r="F214" s="24" t="str">
        <f t="shared" si="37"/>
        <v>2023-11</v>
      </c>
      <c r="O214" t="s">
        <v>16</v>
      </c>
      <c r="P214" t="s">
        <v>145</v>
      </c>
      <c r="Q214">
        <v>1</v>
      </c>
      <c r="AA214">
        <v>40430</v>
      </c>
      <c r="AB214" t="s">
        <v>25</v>
      </c>
      <c r="AD214">
        <f t="shared" si="34"/>
        <v>0</v>
      </c>
      <c r="AE214">
        <f t="shared" si="35"/>
        <v>0</v>
      </c>
      <c r="AG214" t="s">
        <v>16</v>
      </c>
      <c r="AH214" t="s">
        <v>145</v>
      </c>
      <c r="BF214" t="s">
        <v>145</v>
      </c>
      <c r="BG214" t="s">
        <v>16</v>
      </c>
      <c r="BH214">
        <v>1</v>
      </c>
      <c r="BI214" t="s">
        <v>498</v>
      </c>
      <c r="CG214" t="s">
        <v>5</v>
      </c>
      <c r="CH214" t="s">
        <v>25</v>
      </c>
      <c r="CI214">
        <v>40430</v>
      </c>
      <c r="CJ214" t="s">
        <v>498</v>
      </c>
    </row>
    <row r="215" spans="1:88" x14ac:dyDescent="0.25">
      <c r="A215" t="s">
        <v>16</v>
      </c>
      <c r="B215" t="s">
        <v>202</v>
      </c>
      <c r="C215" t="s">
        <v>201</v>
      </c>
      <c r="D215">
        <v>86914</v>
      </c>
      <c r="E215">
        <v>8</v>
      </c>
      <c r="F215" s="24" t="str">
        <f t="shared" si="37"/>
        <v>2023-11</v>
      </c>
      <c r="O215" t="s">
        <v>75</v>
      </c>
      <c r="P215" t="s">
        <v>209</v>
      </c>
      <c r="Q215">
        <v>8</v>
      </c>
      <c r="AA215">
        <v>86914</v>
      </c>
      <c r="AB215" t="s">
        <v>202</v>
      </c>
      <c r="AD215">
        <f t="shared" si="34"/>
        <v>0</v>
      </c>
      <c r="AE215">
        <f t="shared" si="35"/>
        <v>0</v>
      </c>
      <c r="AG215" t="s">
        <v>75</v>
      </c>
      <c r="AH215" t="s">
        <v>209</v>
      </c>
      <c r="BF215" t="s">
        <v>209</v>
      </c>
      <c r="BG215" t="s">
        <v>75</v>
      </c>
      <c r="BH215">
        <v>8</v>
      </c>
      <c r="BI215" t="s">
        <v>498</v>
      </c>
      <c r="CG215" t="s">
        <v>16</v>
      </c>
      <c r="CH215" t="s">
        <v>202</v>
      </c>
      <c r="CI215">
        <v>86914</v>
      </c>
      <c r="CJ215" t="s">
        <v>498</v>
      </c>
    </row>
    <row r="216" spans="1:88" x14ac:dyDescent="0.25">
      <c r="A216" t="s">
        <v>37</v>
      </c>
      <c r="B216" t="s">
        <v>203</v>
      </c>
      <c r="C216" t="s">
        <v>201</v>
      </c>
      <c r="D216">
        <v>82018</v>
      </c>
      <c r="E216">
        <v>8</v>
      </c>
      <c r="F216" s="24" t="str">
        <f t="shared" si="37"/>
        <v>2023-11</v>
      </c>
      <c r="O216" t="s">
        <v>53</v>
      </c>
      <c r="P216" t="s">
        <v>110</v>
      </c>
      <c r="Q216">
        <v>9</v>
      </c>
      <c r="AA216">
        <v>82018</v>
      </c>
      <c r="AB216" t="s">
        <v>203</v>
      </c>
      <c r="AD216">
        <f t="shared" si="34"/>
        <v>0</v>
      </c>
      <c r="AE216">
        <f t="shared" si="35"/>
        <v>0</v>
      </c>
      <c r="AG216" t="s">
        <v>53</v>
      </c>
      <c r="AH216" t="s">
        <v>110</v>
      </c>
      <c r="BF216" t="s">
        <v>110</v>
      </c>
      <c r="BG216" t="s">
        <v>53</v>
      </c>
      <c r="BH216">
        <v>9</v>
      </c>
      <c r="BI216" t="s">
        <v>498</v>
      </c>
      <c r="CG216" t="s">
        <v>37</v>
      </c>
      <c r="CH216" t="s">
        <v>203</v>
      </c>
      <c r="CI216">
        <v>82018</v>
      </c>
      <c r="CJ216" t="s">
        <v>498</v>
      </c>
    </row>
    <row r="217" spans="1:88" x14ac:dyDescent="0.25">
      <c r="A217" t="s">
        <v>10</v>
      </c>
      <c r="B217" t="s">
        <v>185</v>
      </c>
      <c r="C217" t="s">
        <v>201</v>
      </c>
      <c r="D217">
        <v>16912</v>
      </c>
      <c r="E217">
        <v>9</v>
      </c>
      <c r="F217" s="24" t="str">
        <f t="shared" si="37"/>
        <v>2023-11</v>
      </c>
      <c r="O217" t="s">
        <v>53</v>
      </c>
      <c r="P217" t="s">
        <v>210</v>
      </c>
      <c r="Q217">
        <v>6</v>
      </c>
      <c r="AA217">
        <v>16912</v>
      </c>
      <c r="AB217" t="s">
        <v>185</v>
      </c>
      <c r="AD217">
        <f t="shared" si="34"/>
        <v>0</v>
      </c>
      <c r="AE217">
        <f t="shared" si="35"/>
        <v>0</v>
      </c>
      <c r="AG217" t="s">
        <v>53</v>
      </c>
      <c r="AH217" t="s">
        <v>210</v>
      </c>
      <c r="BF217" t="s">
        <v>210</v>
      </c>
      <c r="BG217" t="s">
        <v>53</v>
      </c>
      <c r="BH217">
        <v>6</v>
      </c>
      <c r="BI217" t="s">
        <v>498</v>
      </c>
      <c r="CG217" t="s">
        <v>10</v>
      </c>
      <c r="CH217" t="s">
        <v>185</v>
      </c>
      <c r="CI217">
        <v>16912</v>
      </c>
      <c r="CJ217" t="s">
        <v>498</v>
      </c>
    </row>
    <row r="218" spans="1:88" x14ac:dyDescent="0.25">
      <c r="A218" t="s">
        <v>10</v>
      </c>
      <c r="B218" t="s">
        <v>90</v>
      </c>
      <c r="C218" t="s">
        <v>204</v>
      </c>
      <c r="D218">
        <v>94834</v>
      </c>
      <c r="E218">
        <v>8</v>
      </c>
      <c r="F218" s="24" t="str">
        <f t="shared" si="37"/>
        <v>2023-11</v>
      </c>
      <c r="O218" t="s">
        <v>53</v>
      </c>
      <c r="P218" t="s">
        <v>211</v>
      </c>
      <c r="Q218">
        <v>5</v>
      </c>
      <c r="AA218">
        <v>94834</v>
      </c>
      <c r="AB218" t="s">
        <v>90</v>
      </c>
      <c r="AD218">
        <f t="shared" si="34"/>
        <v>0</v>
      </c>
      <c r="AE218">
        <f t="shared" si="35"/>
        <v>0</v>
      </c>
      <c r="AG218" t="s">
        <v>53</v>
      </c>
      <c r="AH218" t="s">
        <v>211</v>
      </c>
      <c r="BF218" t="s">
        <v>211</v>
      </c>
      <c r="BG218" t="s">
        <v>53</v>
      </c>
      <c r="BH218">
        <v>5</v>
      </c>
      <c r="BI218" t="s">
        <v>498</v>
      </c>
      <c r="CG218" t="s">
        <v>10</v>
      </c>
      <c r="CH218" t="s">
        <v>90</v>
      </c>
      <c r="CI218">
        <v>94834</v>
      </c>
      <c r="CJ218" t="s">
        <v>498</v>
      </c>
    </row>
    <row r="219" spans="1:88" x14ac:dyDescent="0.25">
      <c r="A219" t="s">
        <v>5</v>
      </c>
      <c r="B219" t="s">
        <v>31</v>
      </c>
      <c r="C219" t="s">
        <v>204</v>
      </c>
      <c r="D219">
        <v>60031</v>
      </c>
      <c r="E219">
        <v>8</v>
      </c>
      <c r="F219" s="24" t="str">
        <f t="shared" si="37"/>
        <v>2023-11</v>
      </c>
      <c r="O219" t="s">
        <v>10</v>
      </c>
      <c r="P219" t="s">
        <v>52</v>
      </c>
      <c r="Q219">
        <v>7</v>
      </c>
      <c r="AA219">
        <v>60031</v>
      </c>
      <c r="AB219" t="s">
        <v>31</v>
      </c>
      <c r="AD219">
        <f t="shared" si="34"/>
        <v>0</v>
      </c>
      <c r="AE219">
        <f t="shared" si="35"/>
        <v>0</v>
      </c>
      <c r="AG219" t="s">
        <v>10</v>
      </c>
      <c r="AH219" t="s">
        <v>52</v>
      </c>
      <c r="BF219" t="s">
        <v>52</v>
      </c>
      <c r="BG219" t="s">
        <v>10</v>
      </c>
      <c r="BH219">
        <v>7</v>
      </c>
      <c r="BI219" t="s">
        <v>498</v>
      </c>
      <c r="CG219" t="s">
        <v>5</v>
      </c>
      <c r="CH219" t="s">
        <v>31</v>
      </c>
      <c r="CI219">
        <v>60031</v>
      </c>
      <c r="CJ219" t="s">
        <v>498</v>
      </c>
    </row>
    <row r="220" spans="1:88" x14ac:dyDescent="0.25">
      <c r="A220" t="s">
        <v>14</v>
      </c>
      <c r="B220" t="s">
        <v>71</v>
      </c>
      <c r="C220" t="s">
        <v>205</v>
      </c>
      <c r="D220">
        <v>55127</v>
      </c>
      <c r="E220">
        <v>2</v>
      </c>
      <c r="F220" s="24" t="str">
        <f t="shared" si="37"/>
        <v>2023-11</v>
      </c>
      <c r="O220" t="s">
        <v>10</v>
      </c>
      <c r="P220" t="s">
        <v>61</v>
      </c>
      <c r="Q220">
        <v>8</v>
      </c>
      <c r="AA220">
        <v>55127</v>
      </c>
      <c r="AB220" t="s">
        <v>71</v>
      </c>
      <c r="AD220">
        <f t="shared" si="34"/>
        <v>0</v>
      </c>
      <c r="AE220">
        <f t="shared" si="35"/>
        <v>0</v>
      </c>
      <c r="AG220" t="s">
        <v>10</v>
      </c>
      <c r="AH220" t="s">
        <v>61</v>
      </c>
      <c r="BF220" t="s">
        <v>61</v>
      </c>
      <c r="BG220" t="s">
        <v>10</v>
      </c>
      <c r="BH220">
        <v>8</v>
      </c>
      <c r="BI220" t="s">
        <v>498</v>
      </c>
      <c r="CG220" t="s">
        <v>14</v>
      </c>
      <c r="CH220" t="s">
        <v>71</v>
      </c>
      <c r="CI220">
        <v>55127</v>
      </c>
      <c r="CJ220" t="s">
        <v>498</v>
      </c>
    </row>
    <row r="221" spans="1:88" x14ac:dyDescent="0.25">
      <c r="A221" t="s">
        <v>35</v>
      </c>
      <c r="B221" t="s">
        <v>206</v>
      </c>
      <c r="C221" t="s">
        <v>205</v>
      </c>
      <c r="D221">
        <v>85261</v>
      </c>
      <c r="E221">
        <v>2</v>
      </c>
      <c r="F221" s="24" t="str">
        <f t="shared" si="37"/>
        <v>2023-11</v>
      </c>
      <c r="O221" t="s">
        <v>53</v>
      </c>
      <c r="P221" t="s">
        <v>115</v>
      </c>
      <c r="Q221">
        <v>5</v>
      </c>
      <c r="AA221">
        <v>85261</v>
      </c>
      <c r="AB221" t="s">
        <v>206</v>
      </c>
      <c r="AD221">
        <f t="shared" si="34"/>
        <v>0</v>
      </c>
      <c r="AE221">
        <f t="shared" si="35"/>
        <v>0</v>
      </c>
      <c r="AG221" t="s">
        <v>53</v>
      </c>
      <c r="AH221" t="s">
        <v>115</v>
      </c>
      <c r="BF221" t="s">
        <v>115</v>
      </c>
      <c r="BG221" t="s">
        <v>53</v>
      </c>
      <c r="BH221">
        <v>5</v>
      </c>
      <c r="BI221" t="s">
        <v>498</v>
      </c>
      <c r="CG221" t="s">
        <v>35</v>
      </c>
      <c r="CH221" t="s">
        <v>206</v>
      </c>
      <c r="CI221">
        <v>85261</v>
      </c>
      <c r="CJ221" t="s">
        <v>498</v>
      </c>
    </row>
    <row r="222" spans="1:88" x14ac:dyDescent="0.25">
      <c r="A222" t="s">
        <v>10</v>
      </c>
      <c r="B222" t="s">
        <v>116</v>
      </c>
      <c r="C222" t="s">
        <v>207</v>
      </c>
      <c r="D222">
        <v>58504</v>
      </c>
      <c r="E222">
        <v>7</v>
      </c>
      <c r="F222" s="24" t="str">
        <f t="shared" si="37"/>
        <v>2023-11</v>
      </c>
      <c r="O222" t="s">
        <v>35</v>
      </c>
      <c r="P222" t="s">
        <v>83</v>
      </c>
      <c r="Q222">
        <v>4</v>
      </c>
      <c r="AA222">
        <v>58504</v>
      </c>
      <c r="AB222" t="s">
        <v>116</v>
      </c>
      <c r="AD222">
        <f t="shared" si="34"/>
        <v>0</v>
      </c>
      <c r="AE222">
        <f t="shared" si="35"/>
        <v>0</v>
      </c>
      <c r="AG222" t="s">
        <v>35</v>
      </c>
      <c r="AH222" t="s">
        <v>83</v>
      </c>
      <c r="BF222" t="s">
        <v>83</v>
      </c>
      <c r="BG222" t="s">
        <v>35</v>
      </c>
      <c r="BH222">
        <v>4</v>
      </c>
      <c r="BI222" t="s">
        <v>498</v>
      </c>
      <c r="CG222" t="s">
        <v>10</v>
      </c>
      <c r="CH222" t="s">
        <v>116</v>
      </c>
      <c r="CI222">
        <v>58504</v>
      </c>
      <c r="CJ222" t="s">
        <v>498</v>
      </c>
    </row>
    <row r="223" spans="1:88" x14ac:dyDescent="0.25">
      <c r="A223" t="s">
        <v>14</v>
      </c>
      <c r="B223" t="s">
        <v>48</v>
      </c>
      <c r="C223" t="s">
        <v>207</v>
      </c>
      <c r="D223">
        <v>24634</v>
      </c>
      <c r="E223">
        <v>6</v>
      </c>
      <c r="F223" s="24" t="str">
        <f t="shared" si="37"/>
        <v>2023-11</v>
      </c>
      <c r="O223" t="s">
        <v>75</v>
      </c>
      <c r="P223" t="s">
        <v>213</v>
      </c>
      <c r="Q223">
        <v>4</v>
      </c>
      <c r="AA223">
        <v>24634</v>
      </c>
      <c r="AB223" t="s">
        <v>48</v>
      </c>
      <c r="AD223">
        <f t="shared" si="34"/>
        <v>0</v>
      </c>
      <c r="AE223">
        <f t="shared" si="35"/>
        <v>0</v>
      </c>
      <c r="AG223" t="s">
        <v>75</v>
      </c>
      <c r="AH223" t="s">
        <v>213</v>
      </c>
      <c r="BF223" t="s">
        <v>213</v>
      </c>
      <c r="BG223" t="s">
        <v>75</v>
      </c>
      <c r="BH223">
        <v>4</v>
      </c>
      <c r="BI223" t="s">
        <v>498</v>
      </c>
      <c r="CG223" t="s">
        <v>14</v>
      </c>
      <c r="CH223" t="s">
        <v>48</v>
      </c>
      <c r="CI223">
        <v>24634</v>
      </c>
      <c r="CJ223" t="s">
        <v>498</v>
      </c>
    </row>
    <row r="224" spans="1:88" x14ac:dyDescent="0.25">
      <c r="A224" t="s">
        <v>16</v>
      </c>
      <c r="B224" t="s">
        <v>145</v>
      </c>
      <c r="C224" t="s">
        <v>208</v>
      </c>
      <c r="D224">
        <v>12493</v>
      </c>
      <c r="E224">
        <v>1</v>
      </c>
      <c r="F224" s="24" t="str">
        <f t="shared" si="37"/>
        <v>2023-11</v>
      </c>
      <c r="O224" t="s">
        <v>29</v>
      </c>
      <c r="P224" t="s">
        <v>214</v>
      </c>
      <c r="Q224">
        <v>7</v>
      </c>
      <c r="AA224">
        <v>12493</v>
      </c>
      <c r="AB224" t="s">
        <v>145</v>
      </c>
      <c r="AD224">
        <f t="shared" si="34"/>
        <v>0</v>
      </c>
      <c r="AE224">
        <f t="shared" si="35"/>
        <v>0</v>
      </c>
      <c r="AG224" t="s">
        <v>29</v>
      </c>
      <c r="AH224" t="s">
        <v>214</v>
      </c>
      <c r="BF224" t="s">
        <v>214</v>
      </c>
      <c r="BG224" t="s">
        <v>29</v>
      </c>
      <c r="BH224">
        <v>7</v>
      </c>
      <c r="BI224" t="s">
        <v>498</v>
      </c>
      <c r="CG224" t="s">
        <v>16</v>
      </c>
      <c r="CH224" t="s">
        <v>145</v>
      </c>
      <c r="CI224">
        <v>12493</v>
      </c>
      <c r="CJ224" t="s">
        <v>498</v>
      </c>
    </row>
    <row r="225" spans="1:88" x14ac:dyDescent="0.25">
      <c r="A225" t="s">
        <v>75</v>
      </c>
      <c r="B225" t="s">
        <v>209</v>
      </c>
      <c r="C225" t="s">
        <v>208</v>
      </c>
      <c r="D225">
        <v>33879</v>
      </c>
      <c r="E225">
        <v>8</v>
      </c>
      <c r="F225" s="24" t="str">
        <f t="shared" si="37"/>
        <v>2023-11</v>
      </c>
      <c r="O225" t="s">
        <v>8</v>
      </c>
      <c r="P225" t="s">
        <v>134</v>
      </c>
      <c r="Q225">
        <v>6</v>
      </c>
      <c r="AA225">
        <v>33879</v>
      </c>
      <c r="AB225" t="s">
        <v>209</v>
      </c>
      <c r="AD225">
        <f t="shared" si="34"/>
        <v>0</v>
      </c>
      <c r="AE225">
        <f t="shared" si="35"/>
        <v>0</v>
      </c>
      <c r="AG225" t="s">
        <v>8</v>
      </c>
      <c r="AH225" t="s">
        <v>134</v>
      </c>
      <c r="BF225" t="s">
        <v>134</v>
      </c>
      <c r="BG225" t="s">
        <v>8</v>
      </c>
      <c r="BH225">
        <v>6</v>
      </c>
      <c r="BI225" t="s">
        <v>498</v>
      </c>
      <c r="CG225" t="s">
        <v>75</v>
      </c>
      <c r="CH225" t="s">
        <v>209</v>
      </c>
      <c r="CI225">
        <v>33879</v>
      </c>
      <c r="CJ225" t="s">
        <v>498</v>
      </c>
    </row>
    <row r="226" spans="1:88" x14ac:dyDescent="0.25">
      <c r="A226" t="s">
        <v>53</v>
      </c>
      <c r="B226" t="s">
        <v>110</v>
      </c>
      <c r="C226" t="s">
        <v>208</v>
      </c>
      <c r="D226">
        <v>23880</v>
      </c>
      <c r="E226">
        <v>9</v>
      </c>
      <c r="F226" s="24" t="str">
        <f t="shared" si="37"/>
        <v>2023-11</v>
      </c>
      <c r="O226" t="s">
        <v>37</v>
      </c>
      <c r="P226" t="s">
        <v>206</v>
      </c>
      <c r="Q226">
        <v>9</v>
      </c>
      <c r="AA226">
        <v>23880</v>
      </c>
      <c r="AB226" t="s">
        <v>110</v>
      </c>
      <c r="AD226">
        <f t="shared" si="34"/>
        <v>0</v>
      </c>
      <c r="AE226">
        <f t="shared" si="35"/>
        <v>0</v>
      </c>
      <c r="AG226" t="s">
        <v>37</v>
      </c>
      <c r="AH226" t="s">
        <v>206</v>
      </c>
      <c r="BF226" t="s">
        <v>206</v>
      </c>
      <c r="BG226" t="s">
        <v>37</v>
      </c>
      <c r="BH226">
        <v>9</v>
      </c>
      <c r="BI226" t="s">
        <v>498</v>
      </c>
      <c r="CG226" t="s">
        <v>53</v>
      </c>
      <c r="CH226" t="s">
        <v>110</v>
      </c>
      <c r="CI226">
        <v>23880</v>
      </c>
      <c r="CJ226" t="s">
        <v>498</v>
      </c>
    </row>
    <row r="227" spans="1:88" x14ac:dyDescent="0.25">
      <c r="A227" t="s">
        <v>53</v>
      </c>
      <c r="B227" t="s">
        <v>210</v>
      </c>
      <c r="C227" t="s">
        <v>208</v>
      </c>
      <c r="D227">
        <v>79917</v>
      </c>
      <c r="E227">
        <v>6</v>
      </c>
      <c r="F227" s="24" t="str">
        <f t="shared" si="37"/>
        <v>2023-11</v>
      </c>
      <c r="O227" t="s">
        <v>5</v>
      </c>
      <c r="P227" t="s">
        <v>95</v>
      </c>
      <c r="Q227">
        <v>7</v>
      </c>
      <c r="AA227">
        <v>79917</v>
      </c>
      <c r="AB227" t="s">
        <v>210</v>
      </c>
      <c r="AD227">
        <f t="shared" si="34"/>
        <v>0</v>
      </c>
      <c r="AE227">
        <f t="shared" si="35"/>
        <v>0</v>
      </c>
      <c r="AG227" t="s">
        <v>5</v>
      </c>
      <c r="AH227" t="s">
        <v>95</v>
      </c>
      <c r="BF227" t="s">
        <v>95</v>
      </c>
      <c r="BG227" t="s">
        <v>5</v>
      </c>
      <c r="BH227">
        <v>7</v>
      </c>
      <c r="BI227" t="s">
        <v>498</v>
      </c>
      <c r="CG227" t="s">
        <v>53</v>
      </c>
      <c r="CH227" t="s">
        <v>210</v>
      </c>
      <c r="CI227">
        <v>79917</v>
      </c>
      <c r="CJ227" t="s">
        <v>498</v>
      </c>
    </row>
    <row r="228" spans="1:88" x14ac:dyDescent="0.25">
      <c r="A228" t="s">
        <v>53</v>
      </c>
      <c r="B228" t="s">
        <v>211</v>
      </c>
      <c r="C228" t="s">
        <v>208</v>
      </c>
      <c r="D228">
        <v>31552</v>
      </c>
      <c r="E228">
        <v>5</v>
      </c>
      <c r="F228" s="24" t="str">
        <f t="shared" si="37"/>
        <v>2023-11</v>
      </c>
      <c r="O228" t="s">
        <v>5</v>
      </c>
      <c r="P228" t="s">
        <v>169</v>
      </c>
      <c r="Q228">
        <v>3</v>
      </c>
      <c r="AA228">
        <v>31552</v>
      </c>
      <c r="AB228" t="s">
        <v>211</v>
      </c>
      <c r="AD228">
        <f t="shared" si="34"/>
        <v>0</v>
      </c>
      <c r="AE228">
        <f t="shared" si="35"/>
        <v>0</v>
      </c>
      <c r="AG228" t="s">
        <v>5</v>
      </c>
      <c r="AH228" t="s">
        <v>169</v>
      </c>
      <c r="BF228" t="s">
        <v>169</v>
      </c>
      <c r="BG228" t="s">
        <v>5</v>
      </c>
      <c r="BH228">
        <v>3</v>
      </c>
      <c r="BI228" t="s">
        <v>498</v>
      </c>
      <c r="CG228" t="s">
        <v>53</v>
      </c>
      <c r="CH228" t="s">
        <v>211</v>
      </c>
      <c r="CI228">
        <v>31552</v>
      </c>
      <c r="CJ228" t="s">
        <v>498</v>
      </c>
    </row>
    <row r="229" spans="1:88" x14ac:dyDescent="0.25">
      <c r="A229" t="s">
        <v>10</v>
      </c>
      <c r="B229" t="s">
        <v>52</v>
      </c>
      <c r="C229" t="s">
        <v>208</v>
      </c>
      <c r="D229">
        <v>85424</v>
      </c>
      <c r="E229">
        <v>7</v>
      </c>
      <c r="F229" s="24" t="str">
        <f t="shared" si="37"/>
        <v>2023-11</v>
      </c>
      <c r="O229" t="s">
        <v>37</v>
      </c>
      <c r="P229" t="s">
        <v>81</v>
      </c>
      <c r="Q229">
        <v>10</v>
      </c>
      <c r="AA229">
        <v>85424</v>
      </c>
      <c r="AB229" t="s">
        <v>52</v>
      </c>
      <c r="AD229">
        <f t="shared" si="34"/>
        <v>0</v>
      </c>
      <c r="AE229">
        <f t="shared" si="35"/>
        <v>0</v>
      </c>
      <c r="AG229" t="s">
        <v>37</v>
      </c>
      <c r="AH229" t="s">
        <v>81</v>
      </c>
      <c r="BF229" t="s">
        <v>81</v>
      </c>
      <c r="BG229" t="s">
        <v>37</v>
      </c>
      <c r="BH229">
        <v>10</v>
      </c>
      <c r="BI229" t="s">
        <v>498</v>
      </c>
      <c r="CG229" t="s">
        <v>10</v>
      </c>
      <c r="CH229" t="s">
        <v>52</v>
      </c>
      <c r="CI229">
        <v>85424</v>
      </c>
      <c r="CJ229" t="s">
        <v>498</v>
      </c>
    </row>
    <row r="230" spans="1:88" x14ac:dyDescent="0.25">
      <c r="A230" t="s">
        <v>10</v>
      </c>
      <c r="B230" t="s">
        <v>61</v>
      </c>
      <c r="C230" t="s">
        <v>208</v>
      </c>
      <c r="D230">
        <v>30606</v>
      </c>
      <c r="E230">
        <v>8</v>
      </c>
      <c r="F230" s="24" t="str">
        <f t="shared" si="37"/>
        <v>2023-11</v>
      </c>
      <c r="O230" t="s">
        <v>16</v>
      </c>
      <c r="P230" t="s">
        <v>19</v>
      </c>
      <c r="Q230">
        <v>6</v>
      </c>
      <c r="AA230">
        <v>30606</v>
      </c>
      <c r="AB230" t="s">
        <v>61</v>
      </c>
      <c r="AD230">
        <f t="shared" si="34"/>
        <v>0</v>
      </c>
      <c r="AE230">
        <f t="shared" si="35"/>
        <v>0</v>
      </c>
      <c r="AG230" t="s">
        <v>16</v>
      </c>
      <c r="AH230" t="s">
        <v>19</v>
      </c>
      <c r="BF230" t="s">
        <v>19</v>
      </c>
      <c r="BG230" t="s">
        <v>16</v>
      </c>
      <c r="BH230">
        <v>6</v>
      </c>
      <c r="BI230" t="s">
        <v>498</v>
      </c>
      <c r="CG230" t="s">
        <v>10</v>
      </c>
      <c r="CH230" t="s">
        <v>61</v>
      </c>
      <c r="CI230">
        <v>30606</v>
      </c>
      <c r="CJ230" t="s">
        <v>498</v>
      </c>
    </row>
    <row r="231" spans="1:88" x14ac:dyDescent="0.25">
      <c r="A231" t="s">
        <v>53</v>
      </c>
      <c r="B231" t="s">
        <v>115</v>
      </c>
      <c r="C231" t="s">
        <v>212</v>
      </c>
      <c r="D231">
        <v>83106</v>
      </c>
      <c r="E231">
        <v>5</v>
      </c>
      <c r="F231" s="24" t="str">
        <f t="shared" si="37"/>
        <v>2023-11</v>
      </c>
      <c r="O231" t="s">
        <v>55</v>
      </c>
      <c r="P231" t="s">
        <v>163</v>
      </c>
      <c r="Q231">
        <v>9</v>
      </c>
      <c r="AA231">
        <v>83106</v>
      </c>
      <c r="AB231" t="s">
        <v>115</v>
      </c>
      <c r="AD231">
        <f t="shared" si="34"/>
        <v>0</v>
      </c>
      <c r="AE231">
        <f t="shared" si="35"/>
        <v>0</v>
      </c>
      <c r="AG231" t="s">
        <v>55</v>
      </c>
      <c r="AH231" t="s">
        <v>163</v>
      </c>
      <c r="BF231" t="s">
        <v>163</v>
      </c>
      <c r="BG231" t="s">
        <v>55</v>
      </c>
      <c r="BH231">
        <v>9</v>
      </c>
      <c r="BI231" t="s">
        <v>498</v>
      </c>
      <c r="CG231" t="s">
        <v>53</v>
      </c>
      <c r="CH231" t="s">
        <v>115</v>
      </c>
      <c r="CI231">
        <v>83106</v>
      </c>
      <c r="CJ231" t="s">
        <v>498</v>
      </c>
    </row>
    <row r="232" spans="1:88" x14ac:dyDescent="0.25">
      <c r="A232" t="s">
        <v>35</v>
      </c>
      <c r="B232" t="s">
        <v>83</v>
      </c>
      <c r="C232" t="s">
        <v>212</v>
      </c>
      <c r="D232">
        <v>43937</v>
      </c>
      <c r="E232">
        <v>4</v>
      </c>
      <c r="F232" s="24" t="str">
        <f t="shared" si="37"/>
        <v>2023-11</v>
      </c>
      <c r="O232" t="s">
        <v>37</v>
      </c>
      <c r="P232" t="s">
        <v>177</v>
      </c>
      <c r="Q232">
        <v>2</v>
      </c>
      <c r="AA232">
        <v>43937</v>
      </c>
      <c r="AB232" t="s">
        <v>83</v>
      </c>
      <c r="AD232">
        <f t="shared" si="34"/>
        <v>0</v>
      </c>
      <c r="AE232">
        <f t="shared" si="35"/>
        <v>0</v>
      </c>
      <c r="AG232" t="s">
        <v>37</v>
      </c>
      <c r="AH232" t="s">
        <v>177</v>
      </c>
      <c r="BF232" t="s">
        <v>177</v>
      </c>
      <c r="BG232" t="s">
        <v>37</v>
      </c>
      <c r="BH232">
        <v>2</v>
      </c>
      <c r="BI232" t="s">
        <v>498</v>
      </c>
      <c r="CG232" t="s">
        <v>35</v>
      </c>
      <c r="CH232" t="s">
        <v>83</v>
      </c>
      <c r="CI232">
        <v>43937</v>
      </c>
      <c r="CJ232" t="s">
        <v>498</v>
      </c>
    </row>
    <row r="233" spans="1:88" x14ac:dyDescent="0.25">
      <c r="A233" t="s">
        <v>75</v>
      </c>
      <c r="B233" t="s">
        <v>213</v>
      </c>
      <c r="C233" t="s">
        <v>212</v>
      </c>
      <c r="D233">
        <v>15836</v>
      </c>
      <c r="E233">
        <v>4</v>
      </c>
      <c r="F233" s="24" t="str">
        <f t="shared" si="37"/>
        <v>2023-11</v>
      </c>
      <c r="O233" t="s">
        <v>29</v>
      </c>
      <c r="P233" t="s">
        <v>177</v>
      </c>
      <c r="Q233">
        <v>8</v>
      </c>
      <c r="AA233">
        <v>15836</v>
      </c>
      <c r="AB233" t="s">
        <v>213</v>
      </c>
      <c r="AD233">
        <f t="shared" si="34"/>
        <v>0</v>
      </c>
      <c r="AE233">
        <f t="shared" si="35"/>
        <v>0</v>
      </c>
      <c r="AG233" t="s">
        <v>29</v>
      </c>
      <c r="AH233" t="s">
        <v>177</v>
      </c>
      <c r="BF233" t="s">
        <v>177</v>
      </c>
      <c r="BG233" t="s">
        <v>29</v>
      </c>
      <c r="BH233">
        <v>8</v>
      </c>
      <c r="BI233" t="s">
        <v>498</v>
      </c>
      <c r="CG233" t="s">
        <v>75</v>
      </c>
      <c r="CH233" t="s">
        <v>213</v>
      </c>
      <c r="CI233">
        <v>15836</v>
      </c>
      <c r="CJ233" t="s">
        <v>498</v>
      </c>
    </row>
    <row r="234" spans="1:88" x14ac:dyDescent="0.25">
      <c r="A234" t="s">
        <v>29</v>
      </c>
      <c r="B234" t="s">
        <v>214</v>
      </c>
      <c r="C234" t="s">
        <v>212</v>
      </c>
      <c r="D234">
        <v>93274</v>
      </c>
      <c r="E234">
        <v>7</v>
      </c>
      <c r="F234" s="24" t="str">
        <f t="shared" si="37"/>
        <v>2023-11</v>
      </c>
      <c r="O234" t="s">
        <v>37</v>
      </c>
      <c r="P234" t="s">
        <v>45</v>
      </c>
      <c r="Q234">
        <v>3</v>
      </c>
      <c r="AA234">
        <v>93274</v>
      </c>
      <c r="AB234" t="s">
        <v>214</v>
      </c>
      <c r="AD234">
        <f t="shared" si="34"/>
        <v>0</v>
      </c>
      <c r="AE234">
        <f t="shared" si="35"/>
        <v>0</v>
      </c>
      <c r="AG234" t="s">
        <v>37</v>
      </c>
      <c r="AH234" t="s">
        <v>45</v>
      </c>
      <c r="BF234" t="s">
        <v>45</v>
      </c>
      <c r="BG234" t="s">
        <v>37</v>
      </c>
      <c r="BH234">
        <v>3</v>
      </c>
      <c r="BI234" t="s">
        <v>498</v>
      </c>
      <c r="CG234" t="s">
        <v>29</v>
      </c>
      <c r="CH234" t="s">
        <v>214</v>
      </c>
      <c r="CI234">
        <v>93274</v>
      </c>
      <c r="CJ234" t="s">
        <v>498</v>
      </c>
    </row>
    <row r="235" spans="1:88" x14ac:dyDescent="0.25">
      <c r="A235" t="s">
        <v>8</v>
      </c>
      <c r="B235" t="s">
        <v>134</v>
      </c>
      <c r="C235" t="s">
        <v>215</v>
      </c>
      <c r="D235">
        <v>28304</v>
      </c>
      <c r="E235">
        <v>6</v>
      </c>
      <c r="F235" s="24" t="str">
        <f t="shared" si="37"/>
        <v>2023-11</v>
      </c>
      <c r="O235" t="s">
        <v>35</v>
      </c>
      <c r="P235" t="s">
        <v>219</v>
      </c>
      <c r="Q235">
        <v>6</v>
      </c>
      <c r="AA235">
        <v>28304</v>
      </c>
      <c r="AB235" t="s">
        <v>134</v>
      </c>
      <c r="AD235">
        <f t="shared" si="34"/>
        <v>0</v>
      </c>
      <c r="AE235">
        <f t="shared" si="35"/>
        <v>0</v>
      </c>
      <c r="AG235" t="s">
        <v>35</v>
      </c>
      <c r="AH235" t="s">
        <v>219</v>
      </c>
      <c r="BF235" t="s">
        <v>219</v>
      </c>
      <c r="BG235" t="s">
        <v>35</v>
      </c>
      <c r="BH235">
        <v>6</v>
      </c>
      <c r="BI235" t="s">
        <v>498</v>
      </c>
      <c r="CG235" t="s">
        <v>8</v>
      </c>
      <c r="CH235" t="s">
        <v>134</v>
      </c>
      <c r="CI235">
        <v>28304</v>
      </c>
      <c r="CJ235" t="s">
        <v>498</v>
      </c>
    </row>
    <row r="236" spans="1:88" x14ac:dyDescent="0.25">
      <c r="A236" t="s">
        <v>37</v>
      </c>
      <c r="B236" t="s">
        <v>206</v>
      </c>
      <c r="C236" t="s">
        <v>215</v>
      </c>
      <c r="D236">
        <v>63352</v>
      </c>
      <c r="E236">
        <v>9</v>
      </c>
      <c r="F236" s="24" t="str">
        <f t="shared" si="37"/>
        <v>2023-11</v>
      </c>
      <c r="O236" t="s">
        <v>8</v>
      </c>
      <c r="P236" t="s">
        <v>39</v>
      </c>
      <c r="Q236">
        <v>8</v>
      </c>
      <c r="AA236">
        <v>63352</v>
      </c>
      <c r="AB236" t="s">
        <v>206</v>
      </c>
      <c r="AD236">
        <f t="shared" si="34"/>
        <v>0</v>
      </c>
      <c r="AE236">
        <f t="shared" si="35"/>
        <v>0</v>
      </c>
      <c r="AG236" t="s">
        <v>8</v>
      </c>
      <c r="AH236" t="s">
        <v>39</v>
      </c>
      <c r="BF236" t="s">
        <v>39</v>
      </c>
      <c r="BG236" t="s">
        <v>8</v>
      </c>
      <c r="BH236">
        <v>8</v>
      </c>
      <c r="BI236" t="s">
        <v>498</v>
      </c>
      <c r="CG236" t="s">
        <v>37</v>
      </c>
      <c r="CH236" t="s">
        <v>206</v>
      </c>
      <c r="CI236">
        <v>63352</v>
      </c>
      <c r="CJ236" t="s">
        <v>498</v>
      </c>
    </row>
    <row r="237" spans="1:88" x14ac:dyDescent="0.25">
      <c r="A237" t="s">
        <v>21</v>
      </c>
      <c r="B237" t="s">
        <v>161</v>
      </c>
      <c r="C237" t="s">
        <v>215</v>
      </c>
      <c r="D237">
        <v>96399</v>
      </c>
      <c r="E237">
        <v>7</v>
      </c>
      <c r="F237" s="24" t="str">
        <f t="shared" si="37"/>
        <v>2023-11</v>
      </c>
      <c r="O237" t="s">
        <v>29</v>
      </c>
      <c r="P237" t="s">
        <v>220</v>
      </c>
      <c r="Q237">
        <v>8</v>
      </c>
      <c r="AA237">
        <v>96399</v>
      </c>
      <c r="AB237" t="s">
        <v>161</v>
      </c>
      <c r="AD237">
        <f t="shared" si="34"/>
        <v>0</v>
      </c>
      <c r="AE237">
        <f t="shared" si="35"/>
        <v>0</v>
      </c>
      <c r="AG237" t="s">
        <v>29</v>
      </c>
      <c r="AH237" t="s">
        <v>220</v>
      </c>
      <c r="BF237" t="s">
        <v>220</v>
      </c>
      <c r="BG237" t="s">
        <v>29</v>
      </c>
      <c r="BH237">
        <v>8</v>
      </c>
      <c r="BI237" t="s">
        <v>498</v>
      </c>
      <c r="CG237" t="s">
        <v>21</v>
      </c>
      <c r="CH237" t="s">
        <v>161</v>
      </c>
      <c r="CI237">
        <v>96399</v>
      </c>
      <c r="CJ237" t="s">
        <v>498</v>
      </c>
    </row>
    <row r="238" spans="1:88" x14ac:dyDescent="0.25">
      <c r="A238" t="s">
        <v>5</v>
      </c>
      <c r="B238" t="s">
        <v>95</v>
      </c>
      <c r="C238" t="s">
        <v>216</v>
      </c>
      <c r="D238">
        <v>48925</v>
      </c>
      <c r="E238">
        <v>7</v>
      </c>
      <c r="F238" s="24" t="str">
        <f t="shared" si="37"/>
        <v>2023-11</v>
      </c>
      <c r="O238" t="s">
        <v>14</v>
      </c>
      <c r="P238" t="s">
        <v>131</v>
      </c>
      <c r="Q238">
        <v>8</v>
      </c>
      <c r="AA238">
        <v>48925</v>
      </c>
      <c r="AB238" t="s">
        <v>95</v>
      </c>
      <c r="AD238">
        <f t="shared" si="34"/>
        <v>0</v>
      </c>
      <c r="AE238">
        <f t="shared" si="35"/>
        <v>0</v>
      </c>
      <c r="AG238" t="s">
        <v>14</v>
      </c>
      <c r="AH238" t="s">
        <v>131</v>
      </c>
      <c r="BF238" t="s">
        <v>131</v>
      </c>
      <c r="BG238" t="s">
        <v>14</v>
      </c>
      <c r="BH238">
        <v>8</v>
      </c>
      <c r="BI238" t="s">
        <v>498</v>
      </c>
      <c r="CG238" t="s">
        <v>5</v>
      </c>
      <c r="CH238" t="s">
        <v>95</v>
      </c>
      <c r="CI238">
        <v>48925</v>
      </c>
      <c r="CJ238" t="s">
        <v>498</v>
      </c>
    </row>
    <row r="239" spans="1:88" x14ac:dyDescent="0.25">
      <c r="A239" t="s">
        <v>5</v>
      </c>
      <c r="B239" t="s">
        <v>169</v>
      </c>
      <c r="C239" t="s">
        <v>216</v>
      </c>
      <c r="D239">
        <v>48877</v>
      </c>
      <c r="E239">
        <v>3</v>
      </c>
      <c r="F239" s="24" t="str">
        <f t="shared" si="37"/>
        <v>2023-11</v>
      </c>
      <c r="O239" t="s">
        <v>35</v>
      </c>
      <c r="P239" t="s">
        <v>151</v>
      </c>
      <c r="Q239">
        <v>8</v>
      </c>
      <c r="AA239">
        <v>48877</v>
      </c>
      <c r="AB239" t="s">
        <v>169</v>
      </c>
      <c r="AD239">
        <f t="shared" si="34"/>
        <v>0</v>
      </c>
      <c r="AE239">
        <f t="shared" si="35"/>
        <v>0</v>
      </c>
      <c r="AG239" t="s">
        <v>35</v>
      </c>
      <c r="AH239" t="s">
        <v>151</v>
      </c>
      <c r="BF239" t="s">
        <v>151</v>
      </c>
      <c r="BG239" t="s">
        <v>35</v>
      </c>
      <c r="BH239">
        <v>8</v>
      </c>
      <c r="BI239" t="s">
        <v>498</v>
      </c>
      <c r="CG239" t="s">
        <v>5</v>
      </c>
      <c r="CH239" t="s">
        <v>169</v>
      </c>
      <c r="CI239">
        <v>48877</v>
      </c>
      <c r="CJ239" t="s">
        <v>498</v>
      </c>
    </row>
    <row r="240" spans="1:88" x14ac:dyDescent="0.25">
      <c r="A240" t="s">
        <v>37</v>
      </c>
      <c r="B240" t="s">
        <v>81</v>
      </c>
      <c r="C240" t="s">
        <v>216</v>
      </c>
      <c r="D240">
        <v>70491</v>
      </c>
      <c r="E240">
        <v>10</v>
      </c>
      <c r="F240" s="24" t="str">
        <f t="shared" si="37"/>
        <v>2023-11</v>
      </c>
      <c r="O240" t="s">
        <v>16</v>
      </c>
      <c r="P240" t="s">
        <v>170</v>
      </c>
      <c r="Q240">
        <v>4</v>
      </c>
      <c r="AA240">
        <v>70491</v>
      </c>
      <c r="AB240" t="s">
        <v>81</v>
      </c>
      <c r="AD240">
        <f t="shared" si="34"/>
        <v>0</v>
      </c>
      <c r="AE240">
        <f t="shared" si="35"/>
        <v>0</v>
      </c>
      <c r="AG240" t="s">
        <v>16</v>
      </c>
      <c r="AH240" t="s">
        <v>170</v>
      </c>
      <c r="BF240" t="s">
        <v>170</v>
      </c>
      <c r="BG240" t="s">
        <v>16</v>
      </c>
      <c r="BH240">
        <v>4</v>
      </c>
      <c r="BI240" t="s">
        <v>498</v>
      </c>
      <c r="CG240" t="s">
        <v>37</v>
      </c>
      <c r="CH240" t="s">
        <v>81</v>
      </c>
      <c r="CI240">
        <v>70491</v>
      </c>
      <c r="CJ240" t="s">
        <v>498</v>
      </c>
    </row>
    <row r="241" spans="1:88" x14ac:dyDescent="0.25">
      <c r="A241" t="s">
        <v>16</v>
      </c>
      <c r="B241" t="s">
        <v>19</v>
      </c>
      <c r="C241" t="s">
        <v>216</v>
      </c>
      <c r="D241">
        <v>29591</v>
      </c>
      <c r="E241">
        <v>6</v>
      </c>
      <c r="F241" s="24" t="str">
        <f t="shared" si="37"/>
        <v>2023-11</v>
      </c>
      <c r="O241" t="s">
        <v>21</v>
      </c>
      <c r="P241" t="s">
        <v>72</v>
      </c>
      <c r="Q241">
        <v>6</v>
      </c>
      <c r="AA241">
        <v>29591</v>
      </c>
      <c r="AB241" t="s">
        <v>19</v>
      </c>
      <c r="AD241">
        <f t="shared" si="34"/>
        <v>0</v>
      </c>
      <c r="AE241">
        <f t="shared" si="35"/>
        <v>0</v>
      </c>
      <c r="AG241" t="s">
        <v>21</v>
      </c>
      <c r="AH241" t="s">
        <v>72</v>
      </c>
      <c r="BF241" t="s">
        <v>72</v>
      </c>
      <c r="BG241" t="s">
        <v>21</v>
      </c>
      <c r="BH241">
        <v>6</v>
      </c>
      <c r="BI241" t="s">
        <v>498</v>
      </c>
      <c r="CG241" t="s">
        <v>16</v>
      </c>
      <c r="CH241" t="s">
        <v>19</v>
      </c>
      <c r="CI241">
        <v>29591</v>
      </c>
      <c r="CJ241" t="s">
        <v>498</v>
      </c>
    </row>
    <row r="242" spans="1:88" x14ac:dyDescent="0.25">
      <c r="A242" t="s">
        <v>55</v>
      </c>
      <c r="B242" t="s">
        <v>163</v>
      </c>
      <c r="C242" t="s">
        <v>217</v>
      </c>
      <c r="D242">
        <v>15816</v>
      </c>
      <c r="E242">
        <v>9</v>
      </c>
      <c r="F242" s="24" t="str">
        <f t="shared" si="37"/>
        <v>2023-11</v>
      </c>
      <c r="O242" t="s">
        <v>16</v>
      </c>
      <c r="P242" t="s">
        <v>130</v>
      </c>
      <c r="Q242">
        <v>9</v>
      </c>
      <c r="AA242">
        <v>15816</v>
      </c>
      <c r="AB242" t="s">
        <v>163</v>
      </c>
      <c r="AD242">
        <f t="shared" si="34"/>
        <v>0</v>
      </c>
      <c r="AE242">
        <f t="shared" si="35"/>
        <v>0</v>
      </c>
      <c r="AG242" t="s">
        <v>16</v>
      </c>
      <c r="AH242" t="s">
        <v>130</v>
      </c>
      <c r="BF242" t="s">
        <v>130</v>
      </c>
      <c r="BG242" t="s">
        <v>16</v>
      </c>
      <c r="BH242">
        <v>9</v>
      </c>
      <c r="BI242" t="s">
        <v>498</v>
      </c>
      <c r="CG242" t="s">
        <v>55</v>
      </c>
      <c r="CH242" t="s">
        <v>163</v>
      </c>
      <c r="CI242">
        <v>15816</v>
      </c>
      <c r="CJ242" t="s">
        <v>498</v>
      </c>
    </row>
    <row r="243" spans="1:88" x14ac:dyDescent="0.25">
      <c r="A243" t="s">
        <v>35</v>
      </c>
      <c r="B243" t="s">
        <v>52</v>
      </c>
      <c r="C243" t="s">
        <v>217</v>
      </c>
      <c r="D243">
        <v>66759</v>
      </c>
      <c r="E243">
        <v>7</v>
      </c>
      <c r="F243" s="24" t="str">
        <f t="shared" si="37"/>
        <v>2023-11</v>
      </c>
      <c r="O243" t="s">
        <v>10</v>
      </c>
      <c r="P243" t="s">
        <v>149</v>
      </c>
      <c r="Q243">
        <v>6</v>
      </c>
      <c r="AA243">
        <v>66759</v>
      </c>
      <c r="AB243" t="s">
        <v>52</v>
      </c>
      <c r="AD243">
        <f t="shared" si="34"/>
        <v>0</v>
      </c>
      <c r="AE243">
        <f t="shared" si="35"/>
        <v>0</v>
      </c>
      <c r="AG243" t="s">
        <v>10</v>
      </c>
      <c r="AH243" t="s">
        <v>149</v>
      </c>
      <c r="BF243" t="s">
        <v>149</v>
      </c>
      <c r="BG243" t="s">
        <v>10</v>
      </c>
      <c r="BH243">
        <v>6</v>
      </c>
      <c r="BI243" t="s">
        <v>498</v>
      </c>
      <c r="CG243" t="s">
        <v>35</v>
      </c>
      <c r="CH243" t="s">
        <v>52</v>
      </c>
      <c r="CI243">
        <v>66759</v>
      </c>
      <c r="CJ243" t="s">
        <v>498</v>
      </c>
    </row>
    <row r="244" spans="1:88" x14ac:dyDescent="0.25">
      <c r="A244" t="s">
        <v>37</v>
      </c>
      <c r="B244" t="s">
        <v>177</v>
      </c>
      <c r="C244" t="s">
        <v>218</v>
      </c>
      <c r="D244">
        <v>79020</v>
      </c>
      <c r="E244">
        <v>2</v>
      </c>
      <c r="F244" s="24" t="str">
        <f t="shared" si="37"/>
        <v>2023-11</v>
      </c>
      <c r="O244" t="s">
        <v>10</v>
      </c>
      <c r="P244" t="s">
        <v>223</v>
      </c>
      <c r="Q244">
        <v>10</v>
      </c>
      <c r="AA244">
        <v>79020</v>
      </c>
      <c r="AB244" t="s">
        <v>177</v>
      </c>
      <c r="AD244">
        <f t="shared" si="34"/>
        <v>0</v>
      </c>
      <c r="AE244">
        <f t="shared" si="35"/>
        <v>0</v>
      </c>
      <c r="AG244" t="s">
        <v>10</v>
      </c>
      <c r="AH244" t="s">
        <v>223</v>
      </c>
      <c r="BF244" t="s">
        <v>223</v>
      </c>
      <c r="BG244" t="s">
        <v>10</v>
      </c>
      <c r="BH244">
        <v>10</v>
      </c>
      <c r="BI244" t="s">
        <v>498</v>
      </c>
      <c r="CG244" t="s">
        <v>37</v>
      </c>
      <c r="CH244" t="s">
        <v>177</v>
      </c>
      <c r="CI244">
        <v>79020</v>
      </c>
      <c r="CJ244" t="s">
        <v>498</v>
      </c>
    </row>
    <row r="245" spans="1:88" x14ac:dyDescent="0.25">
      <c r="A245" t="s">
        <v>5</v>
      </c>
      <c r="B245" t="s">
        <v>26</v>
      </c>
      <c r="C245" t="s">
        <v>218</v>
      </c>
      <c r="D245">
        <v>34463</v>
      </c>
      <c r="E245">
        <v>7</v>
      </c>
      <c r="F245" s="24" t="str">
        <f t="shared" si="37"/>
        <v>2023-11</v>
      </c>
      <c r="O245" t="s">
        <v>5</v>
      </c>
      <c r="P245" t="s">
        <v>64</v>
      </c>
      <c r="Q245">
        <v>7</v>
      </c>
      <c r="AA245">
        <v>34463</v>
      </c>
      <c r="AB245" t="s">
        <v>26</v>
      </c>
      <c r="AD245">
        <f t="shared" si="34"/>
        <v>0</v>
      </c>
      <c r="AE245">
        <f t="shared" si="35"/>
        <v>0</v>
      </c>
      <c r="AG245" t="s">
        <v>5</v>
      </c>
      <c r="AH245" t="s">
        <v>64</v>
      </c>
      <c r="BF245" t="s">
        <v>64</v>
      </c>
      <c r="BG245" t="s">
        <v>5</v>
      </c>
      <c r="BH245">
        <v>7</v>
      </c>
      <c r="BI245" t="s">
        <v>498</v>
      </c>
      <c r="CG245" t="s">
        <v>5</v>
      </c>
      <c r="CH245" t="s">
        <v>26</v>
      </c>
      <c r="CI245">
        <v>34463</v>
      </c>
      <c r="CJ245" t="s">
        <v>498</v>
      </c>
    </row>
    <row r="246" spans="1:88" x14ac:dyDescent="0.25">
      <c r="A246" t="s">
        <v>29</v>
      </c>
      <c r="B246" t="s">
        <v>177</v>
      </c>
      <c r="C246" t="s">
        <v>218</v>
      </c>
      <c r="D246">
        <v>78512</v>
      </c>
      <c r="E246">
        <v>8</v>
      </c>
      <c r="F246" s="24" t="str">
        <f t="shared" si="37"/>
        <v>2023-11</v>
      </c>
      <c r="O246" t="s">
        <v>29</v>
      </c>
      <c r="P246" t="s">
        <v>169</v>
      </c>
      <c r="Q246">
        <v>8</v>
      </c>
      <c r="AA246">
        <v>78512</v>
      </c>
      <c r="AB246" t="s">
        <v>177</v>
      </c>
      <c r="AD246">
        <f t="shared" si="34"/>
        <v>0</v>
      </c>
      <c r="AE246">
        <f t="shared" si="35"/>
        <v>0</v>
      </c>
      <c r="AG246" t="s">
        <v>29</v>
      </c>
      <c r="AH246" t="s">
        <v>169</v>
      </c>
      <c r="BF246" t="s">
        <v>169</v>
      </c>
      <c r="BG246" t="s">
        <v>29</v>
      </c>
      <c r="BH246">
        <v>8</v>
      </c>
      <c r="BI246" t="s">
        <v>498</v>
      </c>
      <c r="CG246" t="s">
        <v>29</v>
      </c>
      <c r="CH246" t="s">
        <v>177</v>
      </c>
      <c r="CI246">
        <v>78512</v>
      </c>
      <c r="CJ246" t="s">
        <v>498</v>
      </c>
    </row>
    <row r="247" spans="1:88" x14ac:dyDescent="0.25">
      <c r="A247" t="s">
        <v>37</v>
      </c>
      <c r="B247" t="s">
        <v>45</v>
      </c>
      <c r="C247" t="s">
        <v>218</v>
      </c>
      <c r="D247">
        <v>96277</v>
      </c>
      <c r="E247">
        <v>3</v>
      </c>
      <c r="F247" s="24" t="str">
        <f t="shared" si="37"/>
        <v>2023-11</v>
      </c>
      <c r="O247" t="s">
        <v>29</v>
      </c>
      <c r="P247" t="s">
        <v>224</v>
      </c>
      <c r="Q247">
        <v>7</v>
      </c>
      <c r="AA247">
        <v>96277</v>
      </c>
      <c r="AB247" t="s">
        <v>45</v>
      </c>
      <c r="AD247">
        <f t="shared" si="34"/>
        <v>0</v>
      </c>
      <c r="AE247">
        <f t="shared" si="35"/>
        <v>0</v>
      </c>
      <c r="AG247" t="s">
        <v>29</v>
      </c>
      <c r="AH247" t="s">
        <v>224</v>
      </c>
      <c r="BF247" t="s">
        <v>224</v>
      </c>
      <c r="BG247" t="s">
        <v>29</v>
      </c>
      <c r="BH247">
        <v>7</v>
      </c>
      <c r="BI247" t="s">
        <v>498</v>
      </c>
      <c r="CG247" t="s">
        <v>37</v>
      </c>
      <c r="CH247" t="s">
        <v>45</v>
      </c>
      <c r="CI247">
        <v>96277</v>
      </c>
      <c r="CJ247" t="s">
        <v>498</v>
      </c>
    </row>
    <row r="248" spans="1:88" x14ac:dyDescent="0.25">
      <c r="A248" t="s">
        <v>35</v>
      </c>
      <c r="B248" t="s">
        <v>219</v>
      </c>
      <c r="C248" t="s">
        <v>218</v>
      </c>
      <c r="D248">
        <v>87346</v>
      </c>
      <c r="E248">
        <v>6</v>
      </c>
      <c r="F248" s="24" t="str">
        <f t="shared" si="37"/>
        <v>2023-11</v>
      </c>
      <c r="O248" t="s">
        <v>10</v>
      </c>
      <c r="P248" t="s">
        <v>225</v>
      </c>
      <c r="Q248">
        <v>7</v>
      </c>
      <c r="AA248">
        <v>87346</v>
      </c>
      <c r="AB248" t="s">
        <v>219</v>
      </c>
      <c r="AD248">
        <f t="shared" si="34"/>
        <v>0</v>
      </c>
      <c r="AE248">
        <f t="shared" si="35"/>
        <v>0</v>
      </c>
      <c r="AG248" t="s">
        <v>10</v>
      </c>
      <c r="AH248" t="s">
        <v>225</v>
      </c>
      <c r="BF248" t="s">
        <v>225</v>
      </c>
      <c r="BG248" t="s">
        <v>10</v>
      </c>
      <c r="BH248">
        <v>7</v>
      </c>
      <c r="BI248" t="s">
        <v>498</v>
      </c>
      <c r="CG248" t="s">
        <v>35</v>
      </c>
      <c r="CH248" t="s">
        <v>219</v>
      </c>
      <c r="CI248">
        <v>87346</v>
      </c>
      <c r="CJ248" t="s">
        <v>498</v>
      </c>
    </row>
    <row r="249" spans="1:88" x14ac:dyDescent="0.25">
      <c r="A249" t="s">
        <v>8</v>
      </c>
      <c r="B249" t="s">
        <v>39</v>
      </c>
      <c r="C249" t="s">
        <v>218</v>
      </c>
      <c r="D249">
        <v>54738</v>
      </c>
      <c r="E249">
        <v>8</v>
      </c>
      <c r="F249" s="24" t="str">
        <f t="shared" si="37"/>
        <v>2023-11</v>
      </c>
      <c r="O249" t="s">
        <v>35</v>
      </c>
      <c r="P249" t="s">
        <v>92</v>
      </c>
      <c r="Q249">
        <v>3</v>
      </c>
      <c r="AA249">
        <v>54738</v>
      </c>
      <c r="AB249" t="s">
        <v>39</v>
      </c>
      <c r="AD249">
        <f t="shared" si="34"/>
        <v>0</v>
      </c>
      <c r="AE249">
        <f t="shared" si="35"/>
        <v>0</v>
      </c>
      <c r="AG249" t="s">
        <v>35</v>
      </c>
      <c r="AH249" t="s">
        <v>92</v>
      </c>
      <c r="BF249" t="s">
        <v>92</v>
      </c>
      <c r="BG249" t="s">
        <v>35</v>
      </c>
      <c r="BH249">
        <v>3</v>
      </c>
      <c r="BI249" t="s">
        <v>498</v>
      </c>
      <c r="CG249" t="s">
        <v>8</v>
      </c>
      <c r="CH249" t="s">
        <v>39</v>
      </c>
      <c r="CI249">
        <v>54738</v>
      </c>
      <c r="CJ249" t="s">
        <v>498</v>
      </c>
    </row>
    <row r="250" spans="1:88" x14ac:dyDescent="0.25">
      <c r="A250" t="s">
        <v>29</v>
      </c>
      <c r="B250" t="s">
        <v>220</v>
      </c>
      <c r="C250" t="s">
        <v>221</v>
      </c>
      <c r="D250">
        <v>25694</v>
      </c>
      <c r="E250">
        <v>8</v>
      </c>
      <c r="F250" s="24" t="str">
        <f t="shared" si="37"/>
        <v>2023-11</v>
      </c>
      <c r="O250" t="s">
        <v>53</v>
      </c>
      <c r="P250" t="s">
        <v>31</v>
      </c>
      <c r="Q250">
        <v>7</v>
      </c>
      <c r="AA250">
        <v>25694</v>
      </c>
      <c r="AB250" t="s">
        <v>220</v>
      </c>
      <c r="AD250">
        <f t="shared" si="34"/>
        <v>0</v>
      </c>
      <c r="AE250">
        <f t="shared" si="35"/>
        <v>0</v>
      </c>
      <c r="AG250" t="s">
        <v>53</v>
      </c>
      <c r="AH250" t="s">
        <v>31</v>
      </c>
      <c r="BF250" t="s">
        <v>31</v>
      </c>
      <c r="BG250" t="s">
        <v>53</v>
      </c>
      <c r="BH250">
        <v>7</v>
      </c>
      <c r="BI250" t="s">
        <v>498</v>
      </c>
      <c r="CG250" t="s">
        <v>29</v>
      </c>
      <c r="CH250" t="s">
        <v>220</v>
      </c>
      <c r="CI250">
        <v>25694</v>
      </c>
      <c r="CJ250" t="s">
        <v>498</v>
      </c>
    </row>
    <row r="251" spans="1:88" x14ac:dyDescent="0.25">
      <c r="A251" t="s">
        <v>14</v>
      </c>
      <c r="B251" t="s">
        <v>131</v>
      </c>
      <c r="C251" t="s">
        <v>221</v>
      </c>
      <c r="D251">
        <v>35559</v>
      </c>
      <c r="E251">
        <v>8</v>
      </c>
      <c r="F251" s="24" t="str">
        <f t="shared" si="37"/>
        <v>2023-11</v>
      </c>
      <c r="O251" t="s">
        <v>8</v>
      </c>
      <c r="P251" t="s">
        <v>112</v>
      </c>
      <c r="Q251">
        <v>0</v>
      </c>
      <c r="AA251">
        <v>35559</v>
      </c>
      <c r="AB251" t="s">
        <v>131</v>
      </c>
      <c r="AD251">
        <f t="shared" si="34"/>
        <v>0</v>
      </c>
      <c r="AE251">
        <f t="shared" si="35"/>
        <v>0</v>
      </c>
      <c r="AG251" t="s">
        <v>8</v>
      </c>
      <c r="AH251" t="s">
        <v>112</v>
      </c>
      <c r="BF251" t="s">
        <v>112</v>
      </c>
      <c r="BG251" t="s">
        <v>8</v>
      </c>
      <c r="BH251">
        <v>0</v>
      </c>
      <c r="BI251" t="s">
        <v>498</v>
      </c>
      <c r="CG251" t="s">
        <v>14</v>
      </c>
      <c r="CH251" t="s">
        <v>131</v>
      </c>
      <c r="CI251">
        <v>35559</v>
      </c>
      <c r="CJ251" t="s">
        <v>498</v>
      </c>
    </row>
    <row r="252" spans="1:88" x14ac:dyDescent="0.25">
      <c r="A252" t="s">
        <v>35</v>
      </c>
      <c r="B252" t="s">
        <v>151</v>
      </c>
      <c r="C252" t="s">
        <v>221</v>
      </c>
      <c r="D252">
        <v>96025</v>
      </c>
      <c r="E252">
        <v>8</v>
      </c>
      <c r="F252" s="24" t="str">
        <f t="shared" si="37"/>
        <v>2023-11</v>
      </c>
      <c r="O252" t="s">
        <v>8</v>
      </c>
      <c r="P252" t="s">
        <v>102</v>
      </c>
      <c r="Q252">
        <v>8</v>
      </c>
      <c r="AA252">
        <v>96025</v>
      </c>
      <c r="AB252" t="s">
        <v>151</v>
      </c>
      <c r="AD252">
        <f t="shared" si="34"/>
        <v>0</v>
      </c>
      <c r="AE252">
        <f t="shared" si="35"/>
        <v>0</v>
      </c>
      <c r="AG252" t="s">
        <v>8</v>
      </c>
      <c r="AH252" t="s">
        <v>102</v>
      </c>
      <c r="BF252" t="s">
        <v>102</v>
      </c>
      <c r="BG252" t="s">
        <v>8</v>
      </c>
      <c r="BH252">
        <v>8</v>
      </c>
      <c r="BI252" t="s">
        <v>498</v>
      </c>
      <c r="CG252" t="s">
        <v>35</v>
      </c>
      <c r="CH252" t="s">
        <v>151</v>
      </c>
      <c r="CI252">
        <v>96025</v>
      </c>
      <c r="CJ252" t="s">
        <v>498</v>
      </c>
    </row>
    <row r="253" spans="1:88" x14ac:dyDescent="0.25">
      <c r="A253" t="s">
        <v>16</v>
      </c>
      <c r="B253" t="s">
        <v>170</v>
      </c>
      <c r="C253" t="s">
        <v>221</v>
      </c>
      <c r="D253">
        <v>30128</v>
      </c>
      <c r="E253">
        <v>4</v>
      </c>
      <c r="F253" s="24" t="str">
        <f t="shared" si="37"/>
        <v>2023-11</v>
      </c>
      <c r="O253" t="s">
        <v>14</v>
      </c>
      <c r="P253" t="s">
        <v>227</v>
      </c>
      <c r="Q253">
        <v>4</v>
      </c>
      <c r="AA253">
        <v>30128</v>
      </c>
      <c r="AB253" t="s">
        <v>170</v>
      </c>
      <c r="AD253">
        <f t="shared" si="34"/>
        <v>0</v>
      </c>
      <c r="AE253">
        <f t="shared" si="35"/>
        <v>0</v>
      </c>
      <c r="AG253" t="s">
        <v>14</v>
      </c>
      <c r="AH253" t="s">
        <v>227</v>
      </c>
      <c r="BF253" t="s">
        <v>227</v>
      </c>
      <c r="BG253" t="s">
        <v>14</v>
      </c>
      <c r="BH253">
        <v>4</v>
      </c>
      <c r="BI253" t="s">
        <v>498</v>
      </c>
      <c r="CG253" t="s">
        <v>16</v>
      </c>
      <c r="CH253" t="s">
        <v>170</v>
      </c>
      <c r="CI253">
        <v>30128</v>
      </c>
      <c r="CJ253" t="s">
        <v>498</v>
      </c>
    </row>
    <row r="254" spans="1:88" x14ac:dyDescent="0.25">
      <c r="A254" t="s">
        <v>21</v>
      </c>
      <c r="B254" t="s">
        <v>72</v>
      </c>
      <c r="C254" t="s">
        <v>221</v>
      </c>
      <c r="D254">
        <v>27057</v>
      </c>
      <c r="E254">
        <v>6</v>
      </c>
      <c r="F254" s="24" t="str">
        <f t="shared" si="37"/>
        <v>2023-11</v>
      </c>
      <c r="O254" t="s">
        <v>16</v>
      </c>
      <c r="P254" t="s">
        <v>78</v>
      </c>
      <c r="Q254">
        <v>3</v>
      </c>
      <c r="AA254">
        <v>27057</v>
      </c>
      <c r="AB254" t="s">
        <v>72</v>
      </c>
      <c r="AD254">
        <f t="shared" si="34"/>
        <v>0</v>
      </c>
      <c r="AE254">
        <f t="shared" si="35"/>
        <v>0</v>
      </c>
      <c r="AG254" t="s">
        <v>16</v>
      </c>
      <c r="AH254" t="s">
        <v>78</v>
      </c>
      <c r="BF254" t="s">
        <v>78</v>
      </c>
      <c r="BG254" t="s">
        <v>16</v>
      </c>
      <c r="BH254">
        <v>3</v>
      </c>
      <c r="BI254" t="s">
        <v>499</v>
      </c>
      <c r="CG254" t="s">
        <v>21</v>
      </c>
      <c r="CH254" t="s">
        <v>72</v>
      </c>
      <c r="CI254">
        <v>27057</v>
      </c>
      <c r="CJ254" t="s">
        <v>498</v>
      </c>
    </row>
    <row r="255" spans="1:88" x14ac:dyDescent="0.25">
      <c r="A255" t="s">
        <v>16</v>
      </c>
      <c r="B255" t="s">
        <v>130</v>
      </c>
      <c r="C255" t="s">
        <v>221</v>
      </c>
      <c r="D255">
        <v>93842</v>
      </c>
      <c r="E255">
        <v>9</v>
      </c>
      <c r="F255" s="24" t="str">
        <f t="shared" si="37"/>
        <v>2023-11</v>
      </c>
      <c r="O255" t="s">
        <v>5</v>
      </c>
      <c r="P255" t="s">
        <v>104</v>
      </c>
      <c r="Q255">
        <v>0</v>
      </c>
      <c r="AA255">
        <v>93842</v>
      </c>
      <c r="AB255" t="s">
        <v>130</v>
      </c>
      <c r="AD255">
        <f t="shared" si="34"/>
        <v>0</v>
      </c>
      <c r="AE255">
        <f t="shared" si="35"/>
        <v>0</v>
      </c>
      <c r="AG255" t="s">
        <v>5</v>
      </c>
      <c r="AH255" t="s">
        <v>104</v>
      </c>
      <c r="BF255" t="s">
        <v>104</v>
      </c>
      <c r="BG255" t="s">
        <v>5</v>
      </c>
      <c r="BH255">
        <v>0</v>
      </c>
      <c r="BI255" t="s">
        <v>499</v>
      </c>
      <c r="CG255" t="s">
        <v>16</v>
      </c>
      <c r="CH255" t="s">
        <v>130</v>
      </c>
      <c r="CI255">
        <v>93842</v>
      </c>
      <c r="CJ255" t="s">
        <v>498</v>
      </c>
    </row>
    <row r="256" spans="1:88" x14ac:dyDescent="0.25">
      <c r="A256" t="s">
        <v>37</v>
      </c>
      <c r="B256" t="s">
        <v>177</v>
      </c>
      <c r="C256" t="s">
        <v>221</v>
      </c>
      <c r="D256">
        <v>65412</v>
      </c>
      <c r="E256">
        <v>3</v>
      </c>
      <c r="F256" s="24" t="str">
        <f t="shared" si="37"/>
        <v>2023-11</v>
      </c>
      <c r="O256" t="s">
        <v>14</v>
      </c>
      <c r="P256" t="s">
        <v>229</v>
      </c>
      <c r="Q256">
        <v>8</v>
      </c>
      <c r="AA256">
        <v>65412</v>
      </c>
      <c r="AB256" t="s">
        <v>177</v>
      </c>
      <c r="AD256">
        <f t="shared" si="34"/>
        <v>0</v>
      </c>
      <c r="AE256">
        <f t="shared" si="35"/>
        <v>0</v>
      </c>
      <c r="AG256" t="s">
        <v>14</v>
      </c>
      <c r="AH256" t="s">
        <v>229</v>
      </c>
      <c r="BF256" t="s">
        <v>229</v>
      </c>
      <c r="BG256" t="s">
        <v>14</v>
      </c>
      <c r="BH256">
        <v>8</v>
      </c>
      <c r="BI256" t="s">
        <v>499</v>
      </c>
      <c r="CG256" t="s">
        <v>37</v>
      </c>
      <c r="CH256" t="s">
        <v>177</v>
      </c>
      <c r="CI256">
        <v>65412</v>
      </c>
      <c r="CJ256" t="s">
        <v>498</v>
      </c>
    </row>
    <row r="257" spans="1:88" x14ac:dyDescent="0.25">
      <c r="A257" t="s">
        <v>10</v>
      </c>
      <c r="B257" t="s">
        <v>149</v>
      </c>
      <c r="C257" t="s">
        <v>222</v>
      </c>
      <c r="D257">
        <v>39842</v>
      </c>
      <c r="E257">
        <v>6</v>
      </c>
      <c r="F257" s="24" t="str">
        <f t="shared" si="37"/>
        <v>2023-11</v>
      </c>
      <c r="O257" t="s">
        <v>37</v>
      </c>
      <c r="P257" t="s">
        <v>66</v>
      </c>
      <c r="Q257">
        <v>7</v>
      </c>
      <c r="AA257">
        <v>39842</v>
      </c>
      <c r="AB257" t="s">
        <v>149</v>
      </c>
      <c r="AD257">
        <f t="shared" si="34"/>
        <v>0</v>
      </c>
      <c r="AE257">
        <f t="shared" si="35"/>
        <v>0</v>
      </c>
      <c r="AG257" t="s">
        <v>37</v>
      </c>
      <c r="AH257" t="s">
        <v>66</v>
      </c>
      <c r="BF257" t="s">
        <v>66</v>
      </c>
      <c r="BG257" t="s">
        <v>37</v>
      </c>
      <c r="BH257">
        <v>7</v>
      </c>
      <c r="BI257" t="s">
        <v>499</v>
      </c>
      <c r="CG257" t="s">
        <v>10</v>
      </c>
      <c r="CH257" t="s">
        <v>149</v>
      </c>
      <c r="CI257">
        <v>39842</v>
      </c>
      <c r="CJ257" t="s">
        <v>498</v>
      </c>
    </row>
    <row r="258" spans="1:88" x14ac:dyDescent="0.25">
      <c r="A258" t="s">
        <v>10</v>
      </c>
      <c r="B258" t="s">
        <v>223</v>
      </c>
      <c r="C258" t="s">
        <v>222</v>
      </c>
      <c r="D258">
        <v>72139</v>
      </c>
      <c r="E258">
        <v>10</v>
      </c>
      <c r="F258" s="24" t="str">
        <f t="shared" si="37"/>
        <v>2023-11</v>
      </c>
      <c r="O258" t="s">
        <v>14</v>
      </c>
      <c r="P258" t="s">
        <v>152</v>
      </c>
      <c r="Q258">
        <v>7</v>
      </c>
      <c r="AA258">
        <v>72139</v>
      </c>
      <c r="AB258" t="s">
        <v>223</v>
      </c>
      <c r="AD258">
        <f t="shared" ref="AD258:AD321" si="38">COUNTIF(AB:AB,AC258)</f>
        <v>0</v>
      </c>
      <c r="AE258">
        <f t="shared" ref="AE258:AE321" si="39">SUMIF(AB:AB,AC258,AA:AA)</f>
        <v>0</v>
      </c>
      <c r="AG258" t="s">
        <v>14</v>
      </c>
      <c r="AH258" t="s">
        <v>152</v>
      </c>
      <c r="BF258" t="s">
        <v>152</v>
      </c>
      <c r="BG258" t="s">
        <v>14</v>
      </c>
      <c r="BH258">
        <v>7</v>
      </c>
      <c r="BI258" t="s">
        <v>499</v>
      </c>
      <c r="CG258" t="s">
        <v>10</v>
      </c>
      <c r="CH258" t="s">
        <v>223</v>
      </c>
      <c r="CI258">
        <v>72139</v>
      </c>
      <c r="CJ258" t="s">
        <v>498</v>
      </c>
    </row>
    <row r="259" spans="1:88" x14ac:dyDescent="0.25">
      <c r="A259" t="s">
        <v>5</v>
      </c>
      <c r="B259" t="s">
        <v>64</v>
      </c>
      <c r="C259" t="s">
        <v>222</v>
      </c>
      <c r="D259">
        <v>58696</v>
      </c>
      <c r="E259">
        <v>7</v>
      </c>
      <c r="F259" s="24" t="str">
        <f t="shared" ref="F259:F322" si="40">YEAR(C259)&amp;"-"&amp;MONTH(C259)</f>
        <v>2023-11</v>
      </c>
      <c r="O259" t="s">
        <v>75</v>
      </c>
      <c r="P259" t="s">
        <v>46</v>
      </c>
      <c r="Q259">
        <v>9</v>
      </c>
      <c r="AA259">
        <v>58696</v>
      </c>
      <c r="AB259" t="s">
        <v>64</v>
      </c>
      <c r="AD259">
        <f t="shared" si="38"/>
        <v>0</v>
      </c>
      <c r="AE259">
        <f t="shared" si="39"/>
        <v>0</v>
      </c>
      <c r="AG259" t="s">
        <v>75</v>
      </c>
      <c r="AH259" t="s">
        <v>46</v>
      </c>
      <c r="BF259" t="s">
        <v>46</v>
      </c>
      <c r="BG259" t="s">
        <v>75</v>
      </c>
      <c r="BH259">
        <v>9</v>
      </c>
      <c r="BI259" t="s">
        <v>499</v>
      </c>
      <c r="CG259" t="s">
        <v>5</v>
      </c>
      <c r="CH259" t="s">
        <v>64</v>
      </c>
      <c r="CI259">
        <v>58696</v>
      </c>
      <c r="CJ259" t="s">
        <v>498</v>
      </c>
    </row>
    <row r="260" spans="1:88" x14ac:dyDescent="0.25">
      <c r="A260" t="s">
        <v>29</v>
      </c>
      <c r="B260" t="s">
        <v>169</v>
      </c>
      <c r="C260" t="s">
        <v>222</v>
      </c>
      <c r="D260">
        <v>94622</v>
      </c>
      <c r="E260">
        <v>8</v>
      </c>
      <c r="F260" s="24" t="str">
        <f t="shared" si="40"/>
        <v>2023-11</v>
      </c>
      <c r="O260" t="s">
        <v>75</v>
      </c>
      <c r="P260" t="s">
        <v>211</v>
      </c>
      <c r="Q260">
        <v>4</v>
      </c>
      <c r="AA260">
        <v>94622</v>
      </c>
      <c r="AB260" t="s">
        <v>169</v>
      </c>
      <c r="AD260">
        <f t="shared" si="38"/>
        <v>0</v>
      </c>
      <c r="AE260">
        <f t="shared" si="39"/>
        <v>0</v>
      </c>
      <c r="AG260" t="s">
        <v>75</v>
      </c>
      <c r="AH260" t="s">
        <v>211</v>
      </c>
      <c r="BF260" t="s">
        <v>211</v>
      </c>
      <c r="BG260" t="s">
        <v>75</v>
      </c>
      <c r="BH260">
        <v>4</v>
      </c>
      <c r="BI260" t="s">
        <v>499</v>
      </c>
      <c r="CG260" t="s">
        <v>29</v>
      </c>
      <c r="CH260" t="s">
        <v>169</v>
      </c>
      <c r="CI260">
        <v>94622</v>
      </c>
      <c r="CJ260" t="s">
        <v>498</v>
      </c>
    </row>
    <row r="261" spans="1:88" x14ac:dyDescent="0.25">
      <c r="A261" t="s">
        <v>29</v>
      </c>
      <c r="B261" t="s">
        <v>224</v>
      </c>
      <c r="C261" t="s">
        <v>222</v>
      </c>
      <c r="D261">
        <v>43342</v>
      </c>
      <c r="E261">
        <v>7</v>
      </c>
      <c r="F261" s="24" t="str">
        <f t="shared" si="40"/>
        <v>2023-11</v>
      </c>
      <c r="O261" t="s">
        <v>5</v>
      </c>
      <c r="P261" t="s">
        <v>110</v>
      </c>
      <c r="Q261">
        <v>2</v>
      </c>
      <c r="AA261">
        <v>43342</v>
      </c>
      <c r="AB261" t="s">
        <v>224</v>
      </c>
      <c r="AD261">
        <f t="shared" si="38"/>
        <v>0</v>
      </c>
      <c r="AE261">
        <f t="shared" si="39"/>
        <v>0</v>
      </c>
      <c r="AG261" t="s">
        <v>5</v>
      </c>
      <c r="AH261" t="s">
        <v>110</v>
      </c>
      <c r="BF261" t="s">
        <v>110</v>
      </c>
      <c r="BG261" t="s">
        <v>5</v>
      </c>
      <c r="BH261">
        <v>2</v>
      </c>
      <c r="BI261" t="s">
        <v>499</v>
      </c>
      <c r="CG261" t="s">
        <v>29</v>
      </c>
      <c r="CH261" t="s">
        <v>224</v>
      </c>
      <c r="CI261">
        <v>43342</v>
      </c>
      <c r="CJ261" t="s">
        <v>498</v>
      </c>
    </row>
    <row r="262" spans="1:88" x14ac:dyDescent="0.25">
      <c r="A262" t="s">
        <v>10</v>
      </c>
      <c r="B262" t="s">
        <v>225</v>
      </c>
      <c r="C262" t="s">
        <v>222</v>
      </c>
      <c r="D262">
        <v>91624</v>
      </c>
      <c r="E262">
        <v>7</v>
      </c>
      <c r="F262" s="24" t="str">
        <f t="shared" si="40"/>
        <v>2023-11</v>
      </c>
      <c r="O262" t="s">
        <v>53</v>
      </c>
      <c r="P262" t="s">
        <v>231</v>
      </c>
      <c r="Q262">
        <v>5</v>
      </c>
      <c r="AA262">
        <v>91624</v>
      </c>
      <c r="AB262" t="s">
        <v>225</v>
      </c>
      <c r="AD262">
        <f t="shared" si="38"/>
        <v>0</v>
      </c>
      <c r="AE262">
        <f t="shared" si="39"/>
        <v>0</v>
      </c>
      <c r="AG262" t="s">
        <v>53</v>
      </c>
      <c r="AH262" t="s">
        <v>231</v>
      </c>
      <c r="BF262" t="s">
        <v>231</v>
      </c>
      <c r="BG262" t="s">
        <v>53</v>
      </c>
      <c r="BH262">
        <v>5</v>
      </c>
      <c r="BI262" t="s">
        <v>499</v>
      </c>
      <c r="CG262" t="s">
        <v>10</v>
      </c>
      <c r="CH262" t="s">
        <v>225</v>
      </c>
      <c r="CI262">
        <v>91624</v>
      </c>
      <c r="CJ262" t="s">
        <v>498</v>
      </c>
    </row>
    <row r="263" spans="1:88" x14ac:dyDescent="0.25">
      <c r="A263" t="s">
        <v>35</v>
      </c>
      <c r="B263" t="s">
        <v>92</v>
      </c>
      <c r="C263" t="s">
        <v>226</v>
      </c>
      <c r="D263">
        <v>20569</v>
      </c>
      <c r="E263">
        <v>3</v>
      </c>
      <c r="F263" s="24" t="str">
        <f t="shared" si="40"/>
        <v>2023-11</v>
      </c>
      <c r="O263" t="s">
        <v>8</v>
      </c>
      <c r="P263" t="s">
        <v>180</v>
      </c>
      <c r="Q263">
        <v>6</v>
      </c>
      <c r="AA263">
        <v>20569</v>
      </c>
      <c r="AB263" t="s">
        <v>92</v>
      </c>
      <c r="AD263">
        <f t="shared" si="38"/>
        <v>0</v>
      </c>
      <c r="AE263">
        <f t="shared" si="39"/>
        <v>0</v>
      </c>
      <c r="AG263" t="s">
        <v>8</v>
      </c>
      <c r="AH263" t="s">
        <v>180</v>
      </c>
      <c r="BF263" t="s">
        <v>180</v>
      </c>
      <c r="BG263" t="s">
        <v>8</v>
      </c>
      <c r="BH263">
        <v>6</v>
      </c>
      <c r="BI263" t="s">
        <v>499</v>
      </c>
      <c r="CG263" t="s">
        <v>35</v>
      </c>
      <c r="CH263" t="s">
        <v>92</v>
      </c>
      <c r="CI263">
        <v>20569</v>
      </c>
      <c r="CJ263" t="s">
        <v>498</v>
      </c>
    </row>
    <row r="264" spans="1:88" x14ac:dyDescent="0.25">
      <c r="A264" t="s">
        <v>53</v>
      </c>
      <c r="B264" t="s">
        <v>31</v>
      </c>
      <c r="C264" t="s">
        <v>226</v>
      </c>
      <c r="D264">
        <v>29116</v>
      </c>
      <c r="E264">
        <v>7</v>
      </c>
      <c r="F264" s="24" t="str">
        <f t="shared" si="40"/>
        <v>2023-11</v>
      </c>
      <c r="O264" t="s">
        <v>75</v>
      </c>
      <c r="P264" t="s">
        <v>232</v>
      </c>
      <c r="Q264">
        <v>10</v>
      </c>
      <c r="AA264">
        <v>29116</v>
      </c>
      <c r="AB264" t="s">
        <v>31</v>
      </c>
      <c r="AD264">
        <f t="shared" si="38"/>
        <v>0</v>
      </c>
      <c r="AE264">
        <f t="shared" si="39"/>
        <v>0</v>
      </c>
      <c r="AG264" t="s">
        <v>75</v>
      </c>
      <c r="AH264" t="s">
        <v>232</v>
      </c>
      <c r="BF264" t="s">
        <v>232</v>
      </c>
      <c r="BG264" t="s">
        <v>75</v>
      </c>
      <c r="BH264">
        <v>10</v>
      </c>
      <c r="BI264" t="s">
        <v>499</v>
      </c>
      <c r="CG264" t="s">
        <v>53</v>
      </c>
      <c r="CH264" t="s">
        <v>31</v>
      </c>
      <c r="CI264">
        <v>29116</v>
      </c>
      <c r="CJ264" t="s">
        <v>498</v>
      </c>
    </row>
    <row r="265" spans="1:88" x14ac:dyDescent="0.25">
      <c r="A265" t="s">
        <v>8</v>
      </c>
      <c r="B265" t="s">
        <v>112</v>
      </c>
      <c r="C265" t="s">
        <v>226</v>
      </c>
      <c r="D265">
        <v>46381</v>
      </c>
      <c r="E265">
        <v>0</v>
      </c>
      <c r="F265" s="24" t="str">
        <f t="shared" si="40"/>
        <v>2023-11</v>
      </c>
      <c r="O265" t="s">
        <v>21</v>
      </c>
      <c r="P265" t="s">
        <v>92</v>
      </c>
      <c r="Q265">
        <v>9</v>
      </c>
      <c r="AA265">
        <v>46381</v>
      </c>
      <c r="AB265" t="s">
        <v>112</v>
      </c>
      <c r="AD265">
        <f t="shared" si="38"/>
        <v>0</v>
      </c>
      <c r="AE265">
        <f t="shared" si="39"/>
        <v>0</v>
      </c>
      <c r="AG265" t="s">
        <v>21</v>
      </c>
      <c r="AH265" t="s">
        <v>92</v>
      </c>
      <c r="BF265" t="s">
        <v>92</v>
      </c>
      <c r="BG265" t="s">
        <v>21</v>
      </c>
      <c r="BH265">
        <v>9</v>
      </c>
      <c r="BI265" t="s">
        <v>499</v>
      </c>
      <c r="CG265" t="s">
        <v>8</v>
      </c>
      <c r="CH265" t="s">
        <v>112</v>
      </c>
      <c r="CI265">
        <v>46381</v>
      </c>
      <c r="CJ265" t="s">
        <v>498</v>
      </c>
    </row>
    <row r="266" spans="1:88" x14ac:dyDescent="0.25">
      <c r="A266" t="s">
        <v>8</v>
      </c>
      <c r="B266" t="s">
        <v>102</v>
      </c>
      <c r="C266" t="s">
        <v>226</v>
      </c>
      <c r="D266">
        <v>81212</v>
      </c>
      <c r="E266">
        <v>8</v>
      </c>
      <c r="F266" s="24" t="str">
        <f t="shared" si="40"/>
        <v>2023-11</v>
      </c>
      <c r="O266" t="s">
        <v>5</v>
      </c>
      <c r="P266" t="s">
        <v>234</v>
      </c>
      <c r="Q266">
        <v>6</v>
      </c>
      <c r="AA266">
        <v>81212</v>
      </c>
      <c r="AB266" t="s">
        <v>102</v>
      </c>
      <c r="AD266">
        <f t="shared" si="38"/>
        <v>0</v>
      </c>
      <c r="AE266">
        <f t="shared" si="39"/>
        <v>0</v>
      </c>
      <c r="AG266" t="s">
        <v>5</v>
      </c>
      <c r="AH266" t="s">
        <v>234</v>
      </c>
      <c r="BF266" t="s">
        <v>234</v>
      </c>
      <c r="BG266" t="s">
        <v>5</v>
      </c>
      <c r="BH266">
        <v>6</v>
      </c>
      <c r="BI266" t="s">
        <v>499</v>
      </c>
      <c r="CG266" t="s">
        <v>8</v>
      </c>
      <c r="CH266" t="s">
        <v>102</v>
      </c>
      <c r="CI266">
        <v>81212</v>
      </c>
      <c r="CJ266" t="s">
        <v>498</v>
      </c>
    </row>
    <row r="267" spans="1:88" x14ac:dyDescent="0.25">
      <c r="A267" t="s">
        <v>14</v>
      </c>
      <c r="B267" t="s">
        <v>227</v>
      </c>
      <c r="C267" t="s">
        <v>226</v>
      </c>
      <c r="D267">
        <v>68884</v>
      </c>
      <c r="E267">
        <v>4</v>
      </c>
      <c r="F267" s="24" t="str">
        <f t="shared" si="40"/>
        <v>2023-11</v>
      </c>
      <c r="O267" t="s">
        <v>53</v>
      </c>
      <c r="P267" t="s">
        <v>119</v>
      </c>
      <c r="Q267">
        <v>7</v>
      </c>
      <c r="AA267">
        <v>68884</v>
      </c>
      <c r="AB267" t="s">
        <v>227</v>
      </c>
      <c r="AD267">
        <f t="shared" si="38"/>
        <v>0</v>
      </c>
      <c r="AE267">
        <f t="shared" si="39"/>
        <v>0</v>
      </c>
      <c r="AG267" t="s">
        <v>53</v>
      </c>
      <c r="AH267" t="s">
        <v>119</v>
      </c>
      <c r="BF267" t="s">
        <v>119</v>
      </c>
      <c r="BG267" t="s">
        <v>53</v>
      </c>
      <c r="BH267">
        <v>7</v>
      </c>
      <c r="BI267" t="s">
        <v>499</v>
      </c>
      <c r="CG267" t="s">
        <v>14</v>
      </c>
      <c r="CH267" t="s">
        <v>227</v>
      </c>
      <c r="CI267">
        <v>68884</v>
      </c>
      <c r="CJ267" t="s">
        <v>498</v>
      </c>
    </row>
    <row r="268" spans="1:88" x14ac:dyDescent="0.25">
      <c r="A268" t="s">
        <v>16</v>
      </c>
      <c r="B268" t="s">
        <v>78</v>
      </c>
      <c r="C268" t="s">
        <v>228</v>
      </c>
      <c r="D268">
        <v>55065</v>
      </c>
      <c r="E268">
        <v>3</v>
      </c>
      <c r="F268" s="24" t="str">
        <f t="shared" si="40"/>
        <v>2023-12</v>
      </c>
      <c r="O268" t="s">
        <v>75</v>
      </c>
      <c r="P268" t="s">
        <v>94</v>
      </c>
      <c r="Q268">
        <v>5</v>
      </c>
      <c r="AA268">
        <v>55065</v>
      </c>
      <c r="AB268" t="s">
        <v>78</v>
      </c>
      <c r="AD268">
        <f t="shared" si="38"/>
        <v>0</v>
      </c>
      <c r="AE268">
        <f t="shared" si="39"/>
        <v>0</v>
      </c>
      <c r="AG268" t="s">
        <v>75</v>
      </c>
      <c r="AH268" t="s">
        <v>94</v>
      </c>
      <c r="BF268" t="s">
        <v>94</v>
      </c>
      <c r="BG268" t="s">
        <v>75</v>
      </c>
      <c r="BH268">
        <v>5</v>
      </c>
      <c r="BI268" t="s">
        <v>499</v>
      </c>
      <c r="CG268" t="s">
        <v>16</v>
      </c>
      <c r="CH268" t="s">
        <v>78</v>
      </c>
      <c r="CI268">
        <v>55065</v>
      </c>
      <c r="CJ268" t="s">
        <v>499</v>
      </c>
    </row>
    <row r="269" spans="1:88" x14ac:dyDescent="0.25">
      <c r="A269" t="s">
        <v>5</v>
      </c>
      <c r="B269" t="s">
        <v>104</v>
      </c>
      <c r="C269" t="s">
        <v>228</v>
      </c>
      <c r="D269">
        <v>57639</v>
      </c>
      <c r="E269">
        <v>0</v>
      </c>
      <c r="F269" s="24" t="str">
        <f t="shared" si="40"/>
        <v>2023-12</v>
      </c>
      <c r="O269" t="s">
        <v>29</v>
      </c>
      <c r="P269" t="s">
        <v>192</v>
      </c>
      <c r="Q269">
        <v>7</v>
      </c>
      <c r="AA269">
        <v>57639</v>
      </c>
      <c r="AB269" t="s">
        <v>104</v>
      </c>
      <c r="AD269">
        <f t="shared" si="38"/>
        <v>0</v>
      </c>
      <c r="AE269">
        <f t="shared" si="39"/>
        <v>0</v>
      </c>
      <c r="AG269" t="s">
        <v>29</v>
      </c>
      <c r="AH269" t="s">
        <v>192</v>
      </c>
      <c r="BF269" t="s">
        <v>192</v>
      </c>
      <c r="BG269" t="s">
        <v>29</v>
      </c>
      <c r="BH269">
        <v>7</v>
      </c>
      <c r="BI269" t="s">
        <v>499</v>
      </c>
      <c r="CG269" t="s">
        <v>5</v>
      </c>
      <c r="CH269" t="s">
        <v>104</v>
      </c>
      <c r="CI269">
        <v>57639</v>
      </c>
      <c r="CJ269" t="s">
        <v>499</v>
      </c>
    </row>
    <row r="270" spans="1:88" x14ac:dyDescent="0.25">
      <c r="A270" t="s">
        <v>14</v>
      </c>
      <c r="B270" t="s">
        <v>229</v>
      </c>
      <c r="C270" t="s">
        <v>228</v>
      </c>
      <c r="D270">
        <v>29048</v>
      </c>
      <c r="E270">
        <v>8</v>
      </c>
      <c r="F270" s="24" t="str">
        <f t="shared" si="40"/>
        <v>2023-12</v>
      </c>
      <c r="O270" t="s">
        <v>10</v>
      </c>
      <c r="P270" t="s">
        <v>50</v>
      </c>
      <c r="Q270">
        <v>5</v>
      </c>
      <c r="AA270">
        <v>29048</v>
      </c>
      <c r="AB270" t="s">
        <v>229</v>
      </c>
      <c r="AD270">
        <f t="shared" si="38"/>
        <v>0</v>
      </c>
      <c r="AE270">
        <f t="shared" si="39"/>
        <v>0</v>
      </c>
      <c r="AG270" t="s">
        <v>10</v>
      </c>
      <c r="AH270" t="s">
        <v>50</v>
      </c>
      <c r="BF270" t="s">
        <v>50</v>
      </c>
      <c r="BG270" t="s">
        <v>10</v>
      </c>
      <c r="BH270">
        <v>5</v>
      </c>
      <c r="BI270" t="s">
        <v>499</v>
      </c>
      <c r="CG270" t="s">
        <v>14</v>
      </c>
      <c r="CH270" t="s">
        <v>229</v>
      </c>
      <c r="CI270">
        <v>29048</v>
      </c>
      <c r="CJ270" t="s">
        <v>499</v>
      </c>
    </row>
    <row r="271" spans="1:88" x14ac:dyDescent="0.25">
      <c r="A271" t="s">
        <v>37</v>
      </c>
      <c r="B271" t="s">
        <v>66</v>
      </c>
      <c r="C271" t="s">
        <v>230</v>
      </c>
      <c r="D271">
        <v>55112</v>
      </c>
      <c r="E271">
        <v>7</v>
      </c>
      <c r="F271" s="24" t="str">
        <f t="shared" si="40"/>
        <v>2023-12</v>
      </c>
      <c r="O271" t="s">
        <v>55</v>
      </c>
      <c r="P271" t="s">
        <v>214</v>
      </c>
      <c r="Q271">
        <v>10</v>
      </c>
      <c r="AA271">
        <v>55112</v>
      </c>
      <c r="AB271" t="s">
        <v>66</v>
      </c>
      <c r="AD271">
        <f t="shared" si="38"/>
        <v>0</v>
      </c>
      <c r="AE271">
        <f t="shared" si="39"/>
        <v>0</v>
      </c>
      <c r="AG271" t="s">
        <v>55</v>
      </c>
      <c r="AH271" t="s">
        <v>214</v>
      </c>
      <c r="BF271" t="s">
        <v>214</v>
      </c>
      <c r="BG271" t="s">
        <v>55</v>
      </c>
      <c r="BH271">
        <v>10</v>
      </c>
      <c r="BI271" t="s">
        <v>499</v>
      </c>
      <c r="CG271" t="s">
        <v>37</v>
      </c>
      <c r="CH271" t="s">
        <v>66</v>
      </c>
      <c r="CI271">
        <v>55112</v>
      </c>
      <c r="CJ271" t="s">
        <v>499</v>
      </c>
    </row>
    <row r="272" spans="1:88" x14ac:dyDescent="0.25">
      <c r="A272" t="s">
        <v>14</v>
      </c>
      <c r="B272" t="s">
        <v>152</v>
      </c>
      <c r="C272" t="s">
        <v>230</v>
      </c>
      <c r="D272">
        <v>11501</v>
      </c>
      <c r="E272">
        <v>7</v>
      </c>
      <c r="F272" s="24" t="str">
        <f t="shared" si="40"/>
        <v>2023-12</v>
      </c>
      <c r="O272" t="s">
        <v>21</v>
      </c>
      <c r="P272" t="s">
        <v>178</v>
      </c>
      <c r="Q272">
        <v>8</v>
      </c>
      <c r="AA272">
        <v>11501</v>
      </c>
      <c r="AB272" t="s">
        <v>152</v>
      </c>
      <c r="AD272">
        <f t="shared" si="38"/>
        <v>0</v>
      </c>
      <c r="AE272">
        <f t="shared" si="39"/>
        <v>0</v>
      </c>
      <c r="AG272" t="s">
        <v>21</v>
      </c>
      <c r="AH272" t="s">
        <v>178</v>
      </c>
      <c r="BF272" t="s">
        <v>178</v>
      </c>
      <c r="BG272" t="s">
        <v>21</v>
      </c>
      <c r="BH272">
        <v>8</v>
      </c>
      <c r="BI272" t="s">
        <v>499</v>
      </c>
      <c r="CG272" t="s">
        <v>14</v>
      </c>
      <c r="CH272" t="s">
        <v>152</v>
      </c>
      <c r="CI272">
        <v>11501</v>
      </c>
      <c r="CJ272" t="s">
        <v>499</v>
      </c>
    </row>
    <row r="273" spans="1:88" x14ac:dyDescent="0.25">
      <c r="A273" t="s">
        <v>75</v>
      </c>
      <c r="B273" t="s">
        <v>46</v>
      </c>
      <c r="C273" t="s">
        <v>230</v>
      </c>
      <c r="D273">
        <v>13060</v>
      </c>
      <c r="E273">
        <v>9</v>
      </c>
      <c r="F273" s="24" t="str">
        <f t="shared" si="40"/>
        <v>2023-12</v>
      </c>
      <c r="O273" t="s">
        <v>53</v>
      </c>
      <c r="P273" t="s">
        <v>9</v>
      </c>
      <c r="Q273">
        <v>6</v>
      </c>
      <c r="AA273">
        <v>13060</v>
      </c>
      <c r="AB273" t="s">
        <v>46</v>
      </c>
      <c r="AD273">
        <f t="shared" si="38"/>
        <v>0</v>
      </c>
      <c r="AE273">
        <f t="shared" si="39"/>
        <v>0</v>
      </c>
      <c r="AG273" t="s">
        <v>53</v>
      </c>
      <c r="AH273" t="s">
        <v>9</v>
      </c>
      <c r="BF273" t="s">
        <v>9</v>
      </c>
      <c r="BG273" t="s">
        <v>53</v>
      </c>
      <c r="BH273">
        <v>6</v>
      </c>
      <c r="BI273" t="s">
        <v>499</v>
      </c>
      <c r="CG273" t="s">
        <v>75</v>
      </c>
      <c r="CH273" t="s">
        <v>46</v>
      </c>
      <c r="CI273">
        <v>13060</v>
      </c>
      <c r="CJ273" t="s">
        <v>499</v>
      </c>
    </row>
    <row r="274" spans="1:88" x14ac:dyDescent="0.25">
      <c r="A274" t="s">
        <v>75</v>
      </c>
      <c r="B274" t="s">
        <v>211</v>
      </c>
      <c r="C274" t="s">
        <v>230</v>
      </c>
      <c r="D274">
        <v>54684</v>
      </c>
      <c r="E274">
        <v>4</v>
      </c>
      <c r="F274" s="24" t="str">
        <f t="shared" si="40"/>
        <v>2023-12</v>
      </c>
      <c r="O274" t="s">
        <v>5</v>
      </c>
      <c r="P274" t="s">
        <v>119</v>
      </c>
      <c r="Q274">
        <v>5</v>
      </c>
      <c r="AA274">
        <v>54684</v>
      </c>
      <c r="AB274" t="s">
        <v>211</v>
      </c>
      <c r="AD274">
        <f t="shared" si="38"/>
        <v>0</v>
      </c>
      <c r="AE274">
        <f t="shared" si="39"/>
        <v>0</v>
      </c>
      <c r="AG274" t="s">
        <v>5</v>
      </c>
      <c r="AH274" t="s">
        <v>119</v>
      </c>
      <c r="BF274" t="s">
        <v>119</v>
      </c>
      <c r="BG274" t="s">
        <v>5</v>
      </c>
      <c r="BH274">
        <v>5</v>
      </c>
      <c r="BI274" t="s">
        <v>499</v>
      </c>
      <c r="CG274" t="s">
        <v>75</v>
      </c>
      <c r="CH274" t="s">
        <v>211</v>
      </c>
      <c r="CI274">
        <v>54684</v>
      </c>
      <c r="CJ274" t="s">
        <v>499</v>
      </c>
    </row>
    <row r="275" spans="1:88" x14ac:dyDescent="0.25">
      <c r="A275" t="s">
        <v>5</v>
      </c>
      <c r="B275" t="s">
        <v>110</v>
      </c>
      <c r="C275" t="s">
        <v>230</v>
      </c>
      <c r="D275">
        <v>87639</v>
      </c>
      <c r="E275">
        <v>2</v>
      </c>
      <c r="F275" s="24" t="str">
        <f t="shared" si="40"/>
        <v>2023-12</v>
      </c>
      <c r="O275" t="s">
        <v>14</v>
      </c>
      <c r="P275" t="s">
        <v>145</v>
      </c>
      <c r="Q275">
        <v>6</v>
      </c>
      <c r="AA275">
        <v>87639</v>
      </c>
      <c r="AB275" t="s">
        <v>110</v>
      </c>
      <c r="AD275">
        <f t="shared" si="38"/>
        <v>0</v>
      </c>
      <c r="AE275">
        <f t="shared" si="39"/>
        <v>0</v>
      </c>
      <c r="AG275" t="s">
        <v>14</v>
      </c>
      <c r="AH275" t="s">
        <v>145</v>
      </c>
      <c r="BF275" t="s">
        <v>145</v>
      </c>
      <c r="BG275" t="s">
        <v>14</v>
      </c>
      <c r="BH275">
        <v>6</v>
      </c>
      <c r="BI275" t="s">
        <v>499</v>
      </c>
      <c r="CG275" t="s">
        <v>5</v>
      </c>
      <c r="CH275" t="s">
        <v>110</v>
      </c>
      <c r="CI275">
        <v>87639</v>
      </c>
      <c r="CJ275" t="s">
        <v>499</v>
      </c>
    </row>
    <row r="276" spans="1:88" x14ac:dyDescent="0.25">
      <c r="A276" t="s">
        <v>53</v>
      </c>
      <c r="B276" t="s">
        <v>231</v>
      </c>
      <c r="C276" t="s">
        <v>230</v>
      </c>
      <c r="D276">
        <v>33116</v>
      </c>
      <c r="E276">
        <v>5</v>
      </c>
      <c r="F276" s="24" t="str">
        <f t="shared" si="40"/>
        <v>2023-12</v>
      </c>
      <c r="O276" t="s">
        <v>55</v>
      </c>
      <c r="P276" t="s">
        <v>237</v>
      </c>
      <c r="Q276">
        <v>8</v>
      </c>
      <c r="AA276">
        <v>33116</v>
      </c>
      <c r="AB276" t="s">
        <v>231</v>
      </c>
      <c r="AD276">
        <f t="shared" si="38"/>
        <v>0</v>
      </c>
      <c r="AE276">
        <f t="shared" si="39"/>
        <v>0</v>
      </c>
      <c r="AG276" t="s">
        <v>55</v>
      </c>
      <c r="AH276" t="s">
        <v>237</v>
      </c>
      <c r="BF276" t="s">
        <v>237</v>
      </c>
      <c r="BG276" t="s">
        <v>55</v>
      </c>
      <c r="BH276">
        <v>8</v>
      </c>
      <c r="BI276" t="s">
        <v>499</v>
      </c>
      <c r="CG276" t="s">
        <v>53</v>
      </c>
      <c r="CH276" t="s">
        <v>231</v>
      </c>
      <c r="CI276">
        <v>33116</v>
      </c>
      <c r="CJ276" t="s">
        <v>499</v>
      </c>
    </row>
    <row r="277" spans="1:88" x14ac:dyDescent="0.25">
      <c r="A277" t="s">
        <v>8</v>
      </c>
      <c r="B277" t="s">
        <v>180</v>
      </c>
      <c r="C277" t="s">
        <v>230</v>
      </c>
      <c r="D277">
        <v>50830</v>
      </c>
      <c r="E277">
        <v>6</v>
      </c>
      <c r="F277" s="24" t="str">
        <f t="shared" si="40"/>
        <v>2023-12</v>
      </c>
      <c r="O277" t="s">
        <v>53</v>
      </c>
      <c r="P277" t="s">
        <v>196</v>
      </c>
      <c r="Q277">
        <v>0</v>
      </c>
      <c r="AA277">
        <v>50830</v>
      </c>
      <c r="AB277" t="s">
        <v>180</v>
      </c>
      <c r="AD277">
        <f t="shared" si="38"/>
        <v>0</v>
      </c>
      <c r="AE277">
        <f t="shared" si="39"/>
        <v>0</v>
      </c>
      <c r="AG277" t="s">
        <v>53</v>
      </c>
      <c r="AH277" t="s">
        <v>196</v>
      </c>
      <c r="BF277" t="s">
        <v>196</v>
      </c>
      <c r="BG277" t="s">
        <v>53</v>
      </c>
      <c r="BH277">
        <v>0</v>
      </c>
      <c r="BI277" t="s">
        <v>499</v>
      </c>
      <c r="CG277" t="s">
        <v>8</v>
      </c>
      <c r="CH277" t="s">
        <v>180</v>
      </c>
      <c r="CI277">
        <v>50830</v>
      </c>
      <c r="CJ277" t="s">
        <v>499</v>
      </c>
    </row>
    <row r="278" spans="1:88" x14ac:dyDescent="0.25">
      <c r="A278" t="s">
        <v>75</v>
      </c>
      <c r="B278" t="s">
        <v>232</v>
      </c>
      <c r="C278" t="s">
        <v>230</v>
      </c>
      <c r="D278">
        <v>62920</v>
      </c>
      <c r="E278">
        <v>10</v>
      </c>
      <c r="F278" s="24" t="str">
        <f t="shared" si="40"/>
        <v>2023-12</v>
      </c>
      <c r="O278" t="s">
        <v>55</v>
      </c>
      <c r="P278" t="s">
        <v>239</v>
      </c>
      <c r="Q278">
        <v>5</v>
      </c>
      <c r="AA278">
        <v>62920</v>
      </c>
      <c r="AB278" t="s">
        <v>232</v>
      </c>
      <c r="AD278">
        <f t="shared" si="38"/>
        <v>0</v>
      </c>
      <c r="AE278">
        <f t="shared" si="39"/>
        <v>0</v>
      </c>
      <c r="AG278" t="s">
        <v>55</v>
      </c>
      <c r="AH278" t="s">
        <v>239</v>
      </c>
      <c r="BF278" t="s">
        <v>239</v>
      </c>
      <c r="BG278" t="s">
        <v>55</v>
      </c>
      <c r="BH278">
        <v>5</v>
      </c>
      <c r="BI278" t="s">
        <v>499</v>
      </c>
      <c r="CG278" t="s">
        <v>75</v>
      </c>
      <c r="CH278" t="s">
        <v>232</v>
      </c>
      <c r="CI278">
        <v>62920</v>
      </c>
      <c r="CJ278" t="s">
        <v>499</v>
      </c>
    </row>
    <row r="279" spans="1:88" x14ac:dyDescent="0.25">
      <c r="A279" t="s">
        <v>21</v>
      </c>
      <c r="B279" t="s">
        <v>92</v>
      </c>
      <c r="C279" t="s">
        <v>233</v>
      </c>
      <c r="D279">
        <v>75823</v>
      </c>
      <c r="E279">
        <v>9</v>
      </c>
      <c r="F279" s="24" t="str">
        <f t="shared" si="40"/>
        <v>2023-12</v>
      </c>
      <c r="O279" t="s">
        <v>29</v>
      </c>
      <c r="P279" t="s">
        <v>39</v>
      </c>
      <c r="Q279">
        <v>9</v>
      </c>
      <c r="AA279">
        <v>75823</v>
      </c>
      <c r="AB279" t="s">
        <v>92</v>
      </c>
      <c r="AD279">
        <f t="shared" si="38"/>
        <v>0</v>
      </c>
      <c r="AE279">
        <f t="shared" si="39"/>
        <v>0</v>
      </c>
      <c r="AG279" t="s">
        <v>29</v>
      </c>
      <c r="AH279" t="s">
        <v>39</v>
      </c>
      <c r="BF279" t="s">
        <v>39</v>
      </c>
      <c r="BG279" t="s">
        <v>29</v>
      </c>
      <c r="BH279">
        <v>9</v>
      </c>
      <c r="BI279" t="s">
        <v>499</v>
      </c>
      <c r="CG279" t="s">
        <v>21</v>
      </c>
      <c r="CH279" t="s">
        <v>92</v>
      </c>
      <c r="CI279">
        <v>75823</v>
      </c>
      <c r="CJ279" t="s">
        <v>499</v>
      </c>
    </row>
    <row r="280" spans="1:88" x14ac:dyDescent="0.25">
      <c r="A280" t="s">
        <v>5</v>
      </c>
      <c r="B280" t="s">
        <v>234</v>
      </c>
      <c r="C280" t="s">
        <v>233</v>
      </c>
      <c r="D280">
        <v>33845</v>
      </c>
      <c r="E280">
        <v>6</v>
      </c>
      <c r="F280" s="24" t="str">
        <f t="shared" si="40"/>
        <v>2023-12</v>
      </c>
      <c r="O280" t="s">
        <v>37</v>
      </c>
      <c r="P280" t="s">
        <v>200</v>
      </c>
      <c r="Q280">
        <v>2</v>
      </c>
      <c r="AA280">
        <v>33845</v>
      </c>
      <c r="AB280" t="s">
        <v>234</v>
      </c>
      <c r="AD280">
        <f t="shared" si="38"/>
        <v>0</v>
      </c>
      <c r="AE280">
        <f t="shared" si="39"/>
        <v>0</v>
      </c>
      <c r="AG280" t="s">
        <v>37</v>
      </c>
      <c r="AH280" t="s">
        <v>200</v>
      </c>
      <c r="BF280" t="s">
        <v>200</v>
      </c>
      <c r="BG280" t="s">
        <v>37</v>
      </c>
      <c r="BH280">
        <v>2</v>
      </c>
      <c r="BI280" t="s">
        <v>499</v>
      </c>
      <c r="CG280" t="s">
        <v>5</v>
      </c>
      <c r="CH280" t="s">
        <v>234</v>
      </c>
      <c r="CI280">
        <v>33845</v>
      </c>
      <c r="CJ280" t="s">
        <v>499</v>
      </c>
    </row>
    <row r="281" spans="1:88" x14ac:dyDescent="0.25">
      <c r="A281" t="s">
        <v>53</v>
      </c>
      <c r="B281" t="s">
        <v>119</v>
      </c>
      <c r="C281" t="s">
        <v>233</v>
      </c>
      <c r="D281">
        <v>48873</v>
      </c>
      <c r="E281">
        <v>7</v>
      </c>
      <c r="F281" s="24" t="str">
        <f t="shared" si="40"/>
        <v>2023-12</v>
      </c>
      <c r="O281" t="s">
        <v>35</v>
      </c>
      <c r="P281" t="s">
        <v>90</v>
      </c>
      <c r="Q281">
        <v>5</v>
      </c>
      <c r="AA281">
        <v>48873</v>
      </c>
      <c r="AB281" t="s">
        <v>119</v>
      </c>
      <c r="AD281">
        <f t="shared" si="38"/>
        <v>0</v>
      </c>
      <c r="AE281">
        <f t="shared" si="39"/>
        <v>0</v>
      </c>
      <c r="AG281" t="s">
        <v>35</v>
      </c>
      <c r="AH281" t="s">
        <v>90</v>
      </c>
      <c r="BF281" t="s">
        <v>90</v>
      </c>
      <c r="BG281" t="s">
        <v>35</v>
      </c>
      <c r="BH281">
        <v>5</v>
      </c>
      <c r="BI281" t="s">
        <v>499</v>
      </c>
      <c r="CG281" t="s">
        <v>53</v>
      </c>
      <c r="CH281" t="s">
        <v>119</v>
      </c>
      <c r="CI281">
        <v>48873</v>
      </c>
      <c r="CJ281" t="s">
        <v>499</v>
      </c>
    </row>
    <row r="282" spans="1:88" x14ac:dyDescent="0.25">
      <c r="A282" t="s">
        <v>75</v>
      </c>
      <c r="B282" t="s">
        <v>94</v>
      </c>
      <c r="C282" t="s">
        <v>233</v>
      </c>
      <c r="D282">
        <v>16117</v>
      </c>
      <c r="E282">
        <v>5</v>
      </c>
      <c r="F282" s="24" t="str">
        <f t="shared" si="40"/>
        <v>2023-12</v>
      </c>
      <c r="O282" t="s">
        <v>75</v>
      </c>
      <c r="P282" t="s">
        <v>242</v>
      </c>
      <c r="Q282">
        <v>7</v>
      </c>
      <c r="AA282">
        <v>16117</v>
      </c>
      <c r="AB282" t="s">
        <v>94</v>
      </c>
      <c r="AD282">
        <f t="shared" si="38"/>
        <v>0</v>
      </c>
      <c r="AE282">
        <f t="shared" si="39"/>
        <v>0</v>
      </c>
      <c r="AG282" t="s">
        <v>75</v>
      </c>
      <c r="AH282" t="s">
        <v>242</v>
      </c>
      <c r="BF282" t="s">
        <v>242</v>
      </c>
      <c r="BG282" t="s">
        <v>75</v>
      </c>
      <c r="BH282">
        <v>7</v>
      </c>
      <c r="BI282" t="s">
        <v>499</v>
      </c>
      <c r="CG282" t="s">
        <v>75</v>
      </c>
      <c r="CH282" t="s">
        <v>94</v>
      </c>
      <c r="CI282">
        <v>16117</v>
      </c>
      <c r="CJ282" t="s">
        <v>499</v>
      </c>
    </row>
    <row r="283" spans="1:88" x14ac:dyDescent="0.25">
      <c r="A283" t="s">
        <v>29</v>
      </c>
      <c r="B283" t="s">
        <v>192</v>
      </c>
      <c r="C283" t="s">
        <v>235</v>
      </c>
      <c r="D283">
        <v>99617</v>
      </c>
      <c r="E283">
        <v>7</v>
      </c>
      <c r="F283" s="24" t="str">
        <f t="shared" si="40"/>
        <v>2023-12</v>
      </c>
      <c r="O283" t="s">
        <v>8</v>
      </c>
      <c r="P283" t="s">
        <v>130</v>
      </c>
      <c r="Q283">
        <v>7</v>
      </c>
      <c r="AA283">
        <v>99617</v>
      </c>
      <c r="AB283" t="s">
        <v>192</v>
      </c>
      <c r="AD283">
        <f t="shared" si="38"/>
        <v>0</v>
      </c>
      <c r="AE283">
        <f t="shared" si="39"/>
        <v>0</v>
      </c>
      <c r="AG283" t="s">
        <v>8</v>
      </c>
      <c r="AH283" t="s">
        <v>130</v>
      </c>
      <c r="BF283" t="s">
        <v>130</v>
      </c>
      <c r="BG283" t="s">
        <v>8</v>
      </c>
      <c r="BH283">
        <v>7</v>
      </c>
      <c r="BI283" t="s">
        <v>499</v>
      </c>
      <c r="CG283" t="s">
        <v>29</v>
      </c>
      <c r="CH283" t="s">
        <v>192</v>
      </c>
      <c r="CI283">
        <v>99617</v>
      </c>
      <c r="CJ283" t="s">
        <v>499</v>
      </c>
    </row>
    <row r="284" spans="1:88" x14ac:dyDescent="0.25">
      <c r="A284" t="s">
        <v>10</v>
      </c>
      <c r="B284" t="s">
        <v>50</v>
      </c>
      <c r="C284" t="s">
        <v>235</v>
      </c>
      <c r="D284">
        <v>85384</v>
      </c>
      <c r="E284">
        <v>5</v>
      </c>
      <c r="F284" s="24" t="str">
        <f t="shared" si="40"/>
        <v>2023-12</v>
      </c>
      <c r="O284" t="s">
        <v>21</v>
      </c>
      <c r="P284" t="s">
        <v>76</v>
      </c>
      <c r="Q284">
        <v>8</v>
      </c>
      <c r="AA284">
        <v>85384</v>
      </c>
      <c r="AB284" t="s">
        <v>50</v>
      </c>
      <c r="AD284">
        <f t="shared" si="38"/>
        <v>0</v>
      </c>
      <c r="AE284">
        <f t="shared" si="39"/>
        <v>0</v>
      </c>
      <c r="AG284" t="s">
        <v>21</v>
      </c>
      <c r="AH284" t="s">
        <v>76</v>
      </c>
      <c r="BF284" t="s">
        <v>76</v>
      </c>
      <c r="BG284" t="s">
        <v>21</v>
      </c>
      <c r="BH284">
        <v>8</v>
      </c>
      <c r="BI284" t="s">
        <v>499</v>
      </c>
      <c r="CG284" t="s">
        <v>10</v>
      </c>
      <c r="CH284" t="s">
        <v>50</v>
      </c>
      <c r="CI284">
        <v>85384</v>
      </c>
      <c r="CJ284" t="s">
        <v>499</v>
      </c>
    </row>
    <row r="285" spans="1:88" x14ac:dyDescent="0.25">
      <c r="A285" t="s">
        <v>55</v>
      </c>
      <c r="B285" t="s">
        <v>214</v>
      </c>
      <c r="C285" t="s">
        <v>235</v>
      </c>
      <c r="D285">
        <v>63951</v>
      </c>
      <c r="E285">
        <v>10</v>
      </c>
      <c r="F285" s="24" t="str">
        <f t="shared" si="40"/>
        <v>2023-12</v>
      </c>
      <c r="O285" t="s">
        <v>8</v>
      </c>
      <c r="P285" t="s">
        <v>100</v>
      </c>
      <c r="Q285">
        <v>9</v>
      </c>
      <c r="AA285">
        <v>63951</v>
      </c>
      <c r="AB285" t="s">
        <v>214</v>
      </c>
      <c r="AD285">
        <f t="shared" si="38"/>
        <v>0</v>
      </c>
      <c r="AE285">
        <f t="shared" si="39"/>
        <v>0</v>
      </c>
      <c r="AG285" t="s">
        <v>8</v>
      </c>
      <c r="AH285" t="s">
        <v>100</v>
      </c>
      <c r="BF285" t="s">
        <v>100</v>
      </c>
      <c r="BG285" t="s">
        <v>8</v>
      </c>
      <c r="BH285">
        <v>9</v>
      </c>
      <c r="BI285" t="s">
        <v>499</v>
      </c>
      <c r="CG285" t="s">
        <v>55</v>
      </c>
      <c r="CH285" t="s">
        <v>214</v>
      </c>
      <c r="CI285">
        <v>63951</v>
      </c>
      <c r="CJ285" t="s">
        <v>499</v>
      </c>
    </row>
    <row r="286" spans="1:88" x14ac:dyDescent="0.25">
      <c r="A286" t="s">
        <v>21</v>
      </c>
      <c r="B286" t="s">
        <v>178</v>
      </c>
      <c r="C286" t="s">
        <v>236</v>
      </c>
      <c r="D286">
        <v>89390</v>
      </c>
      <c r="E286">
        <v>8</v>
      </c>
      <c r="F286" s="24" t="str">
        <f t="shared" si="40"/>
        <v>2023-12</v>
      </c>
      <c r="O286" t="s">
        <v>10</v>
      </c>
      <c r="P286" t="s">
        <v>39</v>
      </c>
      <c r="Q286">
        <v>5</v>
      </c>
      <c r="AA286">
        <v>89390</v>
      </c>
      <c r="AB286" t="s">
        <v>178</v>
      </c>
      <c r="AD286">
        <f t="shared" si="38"/>
        <v>0</v>
      </c>
      <c r="AE286">
        <f t="shared" si="39"/>
        <v>0</v>
      </c>
      <c r="AG286" t="s">
        <v>10</v>
      </c>
      <c r="AH286" t="s">
        <v>39</v>
      </c>
      <c r="BF286" t="s">
        <v>39</v>
      </c>
      <c r="BG286" t="s">
        <v>10</v>
      </c>
      <c r="BH286">
        <v>5</v>
      </c>
      <c r="BI286" t="s">
        <v>499</v>
      </c>
      <c r="CG286" t="s">
        <v>21</v>
      </c>
      <c r="CH286" t="s">
        <v>178</v>
      </c>
      <c r="CI286">
        <v>89390</v>
      </c>
      <c r="CJ286" t="s">
        <v>499</v>
      </c>
    </row>
    <row r="287" spans="1:88" x14ac:dyDescent="0.25">
      <c r="A287" t="s">
        <v>53</v>
      </c>
      <c r="B287" t="s">
        <v>9</v>
      </c>
      <c r="C287" t="s">
        <v>236</v>
      </c>
      <c r="D287">
        <v>91950</v>
      </c>
      <c r="E287">
        <v>6</v>
      </c>
      <c r="F287" s="24" t="str">
        <f t="shared" si="40"/>
        <v>2023-12</v>
      </c>
      <c r="O287" t="s">
        <v>55</v>
      </c>
      <c r="P287" t="s">
        <v>98</v>
      </c>
      <c r="Q287">
        <v>7</v>
      </c>
      <c r="AA287">
        <v>91950</v>
      </c>
      <c r="AB287" t="s">
        <v>9</v>
      </c>
      <c r="AD287">
        <f t="shared" si="38"/>
        <v>0</v>
      </c>
      <c r="AE287">
        <f t="shared" si="39"/>
        <v>0</v>
      </c>
      <c r="AG287" t="s">
        <v>55</v>
      </c>
      <c r="AH287" t="s">
        <v>98</v>
      </c>
      <c r="BF287" t="s">
        <v>98</v>
      </c>
      <c r="BG287" t="s">
        <v>55</v>
      </c>
      <c r="BH287">
        <v>7</v>
      </c>
      <c r="BI287" t="s">
        <v>499</v>
      </c>
      <c r="CG287" t="s">
        <v>53</v>
      </c>
      <c r="CH287" t="s">
        <v>9</v>
      </c>
      <c r="CI287">
        <v>91950</v>
      </c>
      <c r="CJ287" t="s">
        <v>499</v>
      </c>
    </row>
    <row r="288" spans="1:88" x14ac:dyDescent="0.25">
      <c r="A288" t="s">
        <v>5</v>
      </c>
      <c r="B288" t="s">
        <v>119</v>
      </c>
      <c r="C288" t="s">
        <v>236</v>
      </c>
      <c r="D288">
        <v>17860</v>
      </c>
      <c r="E288">
        <v>5</v>
      </c>
      <c r="F288" s="24" t="str">
        <f t="shared" si="40"/>
        <v>2023-12</v>
      </c>
      <c r="O288" t="s">
        <v>16</v>
      </c>
      <c r="P288" t="s">
        <v>244</v>
      </c>
      <c r="Q288">
        <v>2</v>
      </c>
      <c r="AA288">
        <v>17860</v>
      </c>
      <c r="AB288" t="s">
        <v>119</v>
      </c>
      <c r="AD288">
        <f t="shared" si="38"/>
        <v>0</v>
      </c>
      <c r="AE288">
        <f t="shared" si="39"/>
        <v>0</v>
      </c>
      <c r="AG288" t="s">
        <v>16</v>
      </c>
      <c r="AH288" t="s">
        <v>244</v>
      </c>
      <c r="BF288" t="s">
        <v>244</v>
      </c>
      <c r="BG288" t="s">
        <v>16</v>
      </c>
      <c r="BH288">
        <v>2</v>
      </c>
      <c r="BI288" t="s">
        <v>499</v>
      </c>
      <c r="CG288" t="s">
        <v>5</v>
      </c>
      <c r="CH288" t="s">
        <v>119</v>
      </c>
      <c r="CI288">
        <v>17860</v>
      </c>
      <c r="CJ288" t="s">
        <v>499</v>
      </c>
    </row>
    <row r="289" spans="1:88" x14ac:dyDescent="0.25">
      <c r="A289" t="s">
        <v>14</v>
      </c>
      <c r="B289" t="s">
        <v>145</v>
      </c>
      <c r="C289" t="s">
        <v>236</v>
      </c>
      <c r="D289">
        <v>50170</v>
      </c>
      <c r="E289">
        <v>6</v>
      </c>
      <c r="F289" s="24" t="str">
        <f t="shared" si="40"/>
        <v>2023-12</v>
      </c>
      <c r="O289" t="s">
        <v>35</v>
      </c>
      <c r="P289" t="s">
        <v>164</v>
      </c>
      <c r="Q289">
        <v>6</v>
      </c>
      <c r="AA289">
        <v>50170</v>
      </c>
      <c r="AB289" t="s">
        <v>145</v>
      </c>
      <c r="AD289">
        <f t="shared" si="38"/>
        <v>0</v>
      </c>
      <c r="AE289">
        <f t="shared" si="39"/>
        <v>0</v>
      </c>
      <c r="AG289" t="s">
        <v>35</v>
      </c>
      <c r="AH289" t="s">
        <v>164</v>
      </c>
      <c r="BF289" t="s">
        <v>164</v>
      </c>
      <c r="BG289" t="s">
        <v>35</v>
      </c>
      <c r="BH289">
        <v>6</v>
      </c>
      <c r="BI289" t="s">
        <v>499</v>
      </c>
      <c r="CG289" t="s">
        <v>14</v>
      </c>
      <c r="CH289" t="s">
        <v>145</v>
      </c>
      <c r="CI289">
        <v>50170</v>
      </c>
      <c r="CJ289" t="s">
        <v>499</v>
      </c>
    </row>
    <row r="290" spans="1:88" x14ac:dyDescent="0.25">
      <c r="A290" t="s">
        <v>55</v>
      </c>
      <c r="B290" t="s">
        <v>237</v>
      </c>
      <c r="C290" t="s">
        <v>238</v>
      </c>
      <c r="D290">
        <v>23924</v>
      </c>
      <c r="E290">
        <v>8</v>
      </c>
      <c r="F290" s="24" t="str">
        <f t="shared" si="40"/>
        <v>2023-12</v>
      </c>
      <c r="O290" t="s">
        <v>10</v>
      </c>
      <c r="P290" t="s">
        <v>30</v>
      </c>
      <c r="Q290">
        <v>3</v>
      </c>
      <c r="AA290">
        <v>23924</v>
      </c>
      <c r="AB290" t="s">
        <v>237</v>
      </c>
      <c r="AD290">
        <f t="shared" si="38"/>
        <v>0</v>
      </c>
      <c r="AE290">
        <f t="shared" si="39"/>
        <v>0</v>
      </c>
      <c r="AG290" t="s">
        <v>10</v>
      </c>
      <c r="AH290" t="s">
        <v>30</v>
      </c>
      <c r="BF290" t="s">
        <v>30</v>
      </c>
      <c r="BG290" t="s">
        <v>10</v>
      </c>
      <c r="BH290">
        <v>3</v>
      </c>
      <c r="BI290" t="s">
        <v>499</v>
      </c>
      <c r="CG290" t="s">
        <v>55</v>
      </c>
      <c r="CH290" t="s">
        <v>237</v>
      </c>
      <c r="CI290">
        <v>23924</v>
      </c>
      <c r="CJ290" t="s">
        <v>499</v>
      </c>
    </row>
    <row r="291" spans="1:88" x14ac:dyDescent="0.25">
      <c r="A291" t="s">
        <v>53</v>
      </c>
      <c r="B291" t="s">
        <v>50</v>
      </c>
      <c r="C291" t="s">
        <v>238</v>
      </c>
      <c r="D291">
        <v>72831</v>
      </c>
      <c r="E291">
        <v>7</v>
      </c>
      <c r="F291" s="24" t="str">
        <f t="shared" si="40"/>
        <v>2023-12</v>
      </c>
      <c r="O291" t="s">
        <v>14</v>
      </c>
      <c r="P291" t="s">
        <v>125</v>
      </c>
      <c r="Q291">
        <v>7</v>
      </c>
      <c r="AA291">
        <v>72831</v>
      </c>
      <c r="AB291" t="s">
        <v>50</v>
      </c>
      <c r="AD291">
        <f t="shared" si="38"/>
        <v>0</v>
      </c>
      <c r="AE291">
        <f t="shared" si="39"/>
        <v>0</v>
      </c>
      <c r="AG291" t="s">
        <v>14</v>
      </c>
      <c r="AH291" t="s">
        <v>125</v>
      </c>
      <c r="BF291" t="s">
        <v>125</v>
      </c>
      <c r="BG291" t="s">
        <v>14</v>
      </c>
      <c r="BH291">
        <v>7</v>
      </c>
      <c r="BI291" t="s">
        <v>499</v>
      </c>
      <c r="CG291" t="s">
        <v>53</v>
      </c>
      <c r="CH291" t="s">
        <v>50</v>
      </c>
      <c r="CI291">
        <v>72831</v>
      </c>
      <c r="CJ291" t="s">
        <v>499</v>
      </c>
    </row>
    <row r="292" spans="1:88" x14ac:dyDescent="0.25">
      <c r="A292" t="s">
        <v>53</v>
      </c>
      <c r="B292" t="s">
        <v>196</v>
      </c>
      <c r="C292" t="s">
        <v>238</v>
      </c>
      <c r="D292">
        <v>98346</v>
      </c>
      <c r="E292">
        <v>0</v>
      </c>
      <c r="F292" s="24" t="str">
        <f t="shared" si="40"/>
        <v>2023-12</v>
      </c>
      <c r="O292" t="s">
        <v>5</v>
      </c>
      <c r="P292" t="s">
        <v>131</v>
      </c>
      <c r="Q292">
        <v>5</v>
      </c>
      <c r="AA292">
        <v>98346</v>
      </c>
      <c r="AB292" t="s">
        <v>196</v>
      </c>
      <c r="AD292">
        <f t="shared" si="38"/>
        <v>0</v>
      </c>
      <c r="AE292">
        <f t="shared" si="39"/>
        <v>0</v>
      </c>
      <c r="AG292" t="s">
        <v>5</v>
      </c>
      <c r="AH292" t="s">
        <v>131</v>
      </c>
      <c r="BF292" t="s">
        <v>131</v>
      </c>
      <c r="BG292" t="s">
        <v>5</v>
      </c>
      <c r="BH292">
        <v>5</v>
      </c>
      <c r="BI292" t="s">
        <v>499</v>
      </c>
      <c r="CG292" t="s">
        <v>53</v>
      </c>
      <c r="CH292" t="s">
        <v>196</v>
      </c>
      <c r="CI292">
        <v>98346</v>
      </c>
      <c r="CJ292" t="s">
        <v>499</v>
      </c>
    </row>
    <row r="293" spans="1:88" x14ac:dyDescent="0.25">
      <c r="A293" t="s">
        <v>55</v>
      </c>
      <c r="B293" t="s">
        <v>239</v>
      </c>
      <c r="C293" t="s">
        <v>238</v>
      </c>
      <c r="D293">
        <v>70430</v>
      </c>
      <c r="E293">
        <v>5</v>
      </c>
      <c r="F293" s="24" t="str">
        <f t="shared" si="40"/>
        <v>2023-12</v>
      </c>
      <c r="O293" t="s">
        <v>55</v>
      </c>
      <c r="P293" t="s">
        <v>247</v>
      </c>
      <c r="Q293">
        <v>8</v>
      </c>
      <c r="AA293">
        <v>70430</v>
      </c>
      <c r="AB293" t="s">
        <v>239</v>
      </c>
      <c r="AD293">
        <f t="shared" si="38"/>
        <v>0</v>
      </c>
      <c r="AE293">
        <f t="shared" si="39"/>
        <v>0</v>
      </c>
      <c r="AG293" t="s">
        <v>55</v>
      </c>
      <c r="AH293" t="s">
        <v>247</v>
      </c>
      <c r="BF293" t="s">
        <v>247</v>
      </c>
      <c r="BG293" t="s">
        <v>55</v>
      </c>
      <c r="BH293">
        <v>8</v>
      </c>
      <c r="BI293" t="s">
        <v>499</v>
      </c>
      <c r="CG293" t="s">
        <v>55</v>
      </c>
      <c r="CH293" t="s">
        <v>239</v>
      </c>
      <c r="CI293">
        <v>70430</v>
      </c>
      <c r="CJ293" t="s">
        <v>499</v>
      </c>
    </row>
    <row r="294" spans="1:88" x14ac:dyDescent="0.25">
      <c r="A294" t="s">
        <v>53</v>
      </c>
      <c r="B294" t="s">
        <v>31</v>
      </c>
      <c r="C294" t="s">
        <v>240</v>
      </c>
      <c r="D294">
        <v>13248</v>
      </c>
      <c r="E294">
        <v>4</v>
      </c>
      <c r="F294" s="24" t="str">
        <f t="shared" si="40"/>
        <v>2023-12</v>
      </c>
      <c r="O294" t="s">
        <v>75</v>
      </c>
      <c r="P294" t="s">
        <v>113</v>
      </c>
      <c r="Q294">
        <v>8</v>
      </c>
      <c r="AA294">
        <v>13248</v>
      </c>
      <c r="AB294" t="s">
        <v>31</v>
      </c>
      <c r="AD294">
        <f t="shared" si="38"/>
        <v>0</v>
      </c>
      <c r="AE294">
        <f t="shared" si="39"/>
        <v>0</v>
      </c>
      <c r="AG294" t="s">
        <v>75</v>
      </c>
      <c r="AH294" t="s">
        <v>113</v>
      </c>
      <c r="BF294" t="s">
        <v>113</v>
      </c>
      <c r="BG294" t="s">
        <v>75</v>
      </c>
      <c r="BH294">
        <v>8</v>
      </c>
      <c r="BI294" t="s">
        <v>499</v>
      </c>
      <c r="CG294" t="s">
        <v>53</v>
      </c>
      <c r="CH294" t="s">
        <v>31</v>
      </c>
      <c r="CI294">
        <v>13248</v>
      </c>
      <c r="CJ294" t="s">
        <v>499</v>
      </c>
    </row>
    <row r="295" spans="1:88" x14ac:dyDescent="0.25">
      <c r="A295" t="s">
        <v>5</v>
      </c>
      <c r="B295" t="s">
        <v>110</v>
      </c>
      <c r="C295" t="s">
        <v>240</v>
      </c>
      <c r="D295">
        <v>19749</v>
      </c>
      <c r="E295">
        <v>6</v>
      </c>
      <c r="F295" s="24" t="str">
        <f t="shared" si="40"/>
        <v>2023-12</v>
      </c>
      <c r="O295" t="s">
        <v>5</v>
      </c>
      <c r="P295" t="s">
        <v>161</v>
      </c>
      <c r="Q295">
        <v>7</v>
      </c>
      <c r="AA295">
        <v>19749</v>
      </c>
      <c r="AB295" t="s">
        <v>110</v>
      </c>
      <c r="AD295">
        <f t="shared" si="38"/>
        <v>0</v>
      </c>
      <c r="AE295">
        <f t="shared" si="39"/>
        <v>0</v>
      </c>
      <c r="AG295" t="s">
        <v>5</v>
      </c>
      <c r="AH295" t="s">
        <v>161</v>
      </c>
      <c r="BF295" t="s">
        <v>161</v>
      </c>
      <c r="BG295" t="s">
        <v>5</v>
      </c>
      <c r="BH295">
        <v>7</v>
      </c>
      <c r="BI295" t="s">
        <v>499</v>
      </c>
      <c r="CG295" t="s">
        <v>5</v>
      </c>
      <c r="CH295" t="s">
        <v>110</v>
      </c>
      <c r="CI295">
        <v>19749</v>
      </c>
      <c r="CJ295" t="s">
        <v>499</v>
      </c>
    </row>
    <row r="296" spans="1:88" x14ac:dyDescent="0.25">
      <c r="A296" t="s">
        <v>29</v>
      </c>
      <c r="B296" t="s">
        <v>39</v>
      </c>
      <c r="C296" t="s">
        <v>240</v>
      </c>
      <c r="D296">
        <v>82129</v>
      </c>
      <c r="E296">
        <v>9</v>
      </c>
      <c r="F296" s="24" t="str">
        <f t="shared" si="40"/>
        <v>2023-12</v>
      </c>
      <c r="O296" t="s">
        <v>16</v>
      </c>
      <c r="P296" t="s">
        <v>115</v>
      </c>
      <c r="Q296">
        <v>2</v>
      </c>
      <c r="AA296">
        <v>82129</v>
      </c>
      <c r="AB296" t="s">
        <v>39</v>
      </c>
      <c r="AD296">
        <f t="shared" si="38"/>
        <v>0</v>
      </c>
      <c r="AE296">
        <f t="shared" si="39"/>
        <v>0</v>
      </c>
      <c r="AG296" t="s">
        <v>16</v>
      </c>
      <c r="AH296" t="s">
        <v>115</v>
      </c>
      <c r="BF296" t="s">
        <v>115</v>
      </c>
      <c r="BG296" t="s">
        <v>16</v>
      </c>
      <c r="BH296">
        <v>2</v>
      </c>
      <c r="BI296" t="s">
        <v>499</v>
      </c>
      <c r="CG296" t="s">
        <v>29</v>
      </c>
      <c r="CH296" t="s">
        <v>39</v>
      </c>
      <c r="CI296">
        <v>82129</v>
      </c>
      <c r="CJ296" t="s">
        <v>499</v>
      </c>
    </row>
    <row r="297" spans="1:88" x14ac:dyDescent="0.25">
      <c r="A297" t="s">
        <v>37</v>
      </c>
      <c r="B297" t="s">
        <v>200</v>
      </c>
      <c r="C297" t="s">
        <v>240</v>
      </c>
      <c r="D297">
        <v>15514</v>
      </c>
      <c r="E297">
        <v>2</v>
      </c>
      <c r="F297" s="24" t="str">
        <f t="shared" si="40"/>
        <v>2023-12</v>
      </c>
      <c r="O297" t="s">
        <v>29</v>
      </c>
      <c r="P297" t="s">
        <v>49</v>
      </c>
      <c r="Q297">
        <v>3</v>
      </c>
      <c r="AA297">
        <v>15514</v>
      </c>
      <c r="AB297" t="s">
        <v>200</v>
      </c>
      <c r="AD297">
        <f t="shared" si="38"/>
        <v>0</v>
      </c>
      <c r="AE297">
        <f t="shared" si="39"/>
        <v>0</v>
      </c>
      <c r="AG297" t="s">
        <v>29</v>
      </c>
      <c r="AH297" t="s">
        <v>49</v>
      </c>
      <c r="BF297" t="s">
        <v>49</v>
      </c>
      <c r="BG297" t="s">
        <v>29</v>
      </c>
      <c r="BH297">
        <v>3</v>
      </c>
      <c r="BI297" t="s">
        <v>499</v>
      </c>
      <c r="CG297" t="s">
        <v>37</v>
      </c>
      <c r="CH297" t="s">
        <v>200</v>
      </c>
      <c r="CI297">
        <v>15514</v>
      </c>
      <c r="CJ297" t="s">
        <v>499</v>
      </c>
    </row>
    <row r="298" spans="1:88" x14ac:dyDescent="0.25">
      <c r="A298" t="s">
        <v>35</v>
      </c>
      <c r="B298" t="s">
        <v>90</v>
      </c>
      <c r="C298" t="s">
        <v>240</v>
      </c>
      <c r="D298">
        <v>51409</v>
      </c>
      <c r="E298">
        <v>5</v>
      </c>
      <c r="F298" s="24" t="str">
        <f t="shared" si="40"/>
        <v>2023-12</v>
      </c>
      <c r="O298" t="s">
        <v>21</v>
      </c>
      <c r="P298" t="s">
        <v>88</v>
      </c>
      <c r="Q298">
        <v>6</v>
      </c>
      <c r="AA298">
        <v>51409</v>
      </c>
      <c r="AB298" t="s">
        <v>90</v>
      </c>
      <c r="AD298">
        <f t="shared" si="38"/>
        <v>0</v>
      </c>
      <c r="AE298">
        <f t="shared" si="39"/>
        <v>0</v>
      </c>
      <c r="AG298" t="s">
        <v>21</v>
      </c>
      <c r="AH298" t="s">
        <v>88</v>
      </c>
      <c r="BF298" t="s">
        <v>88</v>
      </c>
      <c r="BG298" t="s">
        <v>21</v>
      </c>
      <c r="BH298">
        <v>6</v>
      </c>
      <c r="BI298" t="s">
        <v>499</v>
      </c>
      <c r="CG298" t="s">
        <v>35</v>
      </c>
      <c r="CH298" t="s">
        <v>90</v>
      </c>
      <c r="CI298">
        <v>51409</v>
      </c>
      <c r="CJ298" t="s">
        <v>499</v>
      </c>
    </row>
    <row r="299" spans="1:88" x14ac:dyDescent="0.25">
      <c r="A299" t="s">
        <v>55</v>
      </c>
      <c r="B299" t="s">
        <v>163</v>
      </c>
      <c r="C299" t="s">
        <v>241</v>
      </c>
      <c r="D299">
        <v>28802</v>
      </c>
      <c r="E299">
        <v>10</v>
      </c>
      <c r="F299" s="24" t="str">
        <f t="shared" si="40"/>
        <v>2023-12</v>
      </c>
      <c r="O299" t="s">
        <v>29</v>
      </c>
      <c r="P299" t="s">
        <v>56</v>
      </c>
      <c r="Q299">
        <v>7</v>
      </c>
      <c r="AA299">
        <v>28802</v>
      </c>
      <c r="AB299" t="s">
        <v>163</v>
      </c>
      <c r="AD299">
        <f t="shared" si="38"/>
        <v>0</v>
      </c>
      <c r="AE299">
        <f t="shared" si="39"/>
        <v>0</v>
      </c>
      <c r="AG299" t="s">
        <v>29</v>
      </c>
      <c r="AH299" t="s">
        <v>56</v>
      </c>
      <c r="BF299" t="s">
        <v>56</v>
      </c>
      <c r="BG299" t="s">
        <v>29</v>
      </c>
      <c r="BH299">
        <v>7</v>
      </c>
      <c r="BI299" t="s">
        <v>499</v>
      </c>
      <c r="CG299" t="s">
        <v>55</v>
      </c>
      <c r="CH299" t="s">
        <v>163</v>
      </c>
      <c r="CI299">
        <v>28802</v>
      </c>
      <c r="CJ299" t="s">
        <v>499</v>
      </c>
    </row>
    <row r="300" spans="1:88" x14ac:dyDescent="0.25">
      <c r="A300" t="s">
        <v>75</v>
      </c>
      <c r="B300" t="s">
        <v>242</v>
      </c>
      <c r="C300" t="s">
        <v>241</v>
      </c>
      <c r="D300">
        <v>31133</v>
      </c>
      <c r="E300">
        <v>7</v>
      </c>
      <c r="F300" s="24" t="str">
        <f t="shared" si="40"/>
        <v>2023-12</v>
      </c>
      <c r="O300" t="s">
        <v>35</v>
      </c>
      <c r="P300" t="s">
        <v>145</v>
      </c>
      <c r="Q300">
        <v>7</v>
      </c>
      <c r="AA300">
        <v>31133</v>
      </c>
      <c r="AB300" t="s">
        <v>242</v>
      </c>
      <c r="AD300">
        <f t="shared" si="38"/>
        <v>0</v>
      </c>
      <c r="AE300">
        <f t="shared" si="39"/>
        <v>0</v>
      </c>
      <c r="AG300" t="s">
        <v>35</v>
      </c>
      <c r="AH300" t="s">
        <v>145</v>
      </c>
      <c r="BF300" t="s">
        <v>145</v>
      </c>
      <c r="BG300" t="s">
        <v>35</v>
      </c>
      <c r="BH300">
        <v>7</v>
      </c>
      <c r="BI300" t="s">
        <v>499</v>
      </c>
      <c r="CG300" t="s">
        <v>75</v>
      </c>
      <c r="CH300" t="s">
        <v>242</v>
      </c>
      <c r="CI300">
        <v>31133</v>
      </c>
      <c r="CJ300" t="s">
        <v>499</v>
      </c>
    </row>
    <row r="301" spans="1:88" x14ac:dyDescent="0.25">
      <c r="A301" t="s">
        <v>8</v>
      </c>
      <c r="B301" t="s">
        <v>130</v>
      </c>
      <c r="C301" t="s">
        <v>241</v>
      </c>
      <c r="D301">
        <v>95772</v>
      </c>
      <c r="E301">
        <v>7</v>
      </c>
      <c r="F301" s="24" t="str">
        <f t="shared" si="40"/>
        <v>2023-12</v>
      </c>
      <c r="O301" t="s">
        <v>29</v>
      </c>
      <c r="P301" t="s">
        <v>131</v>
      </c>
      <c r="Q301">
        <v>6</v>
      </c>
      <c r="AA301">
        <v>95772</v>
      </c>
      <c r="AB301" t="s">
        <v>130</v>
      </c>
      <c r="AD301">
        <f t="shared" si="38"/>
        <v>0</v>
      </c>
      <c r="AE301">
        <f t="shared" si="39"/>
        <v>0</v>
      </c>
      <c r="AG301" t="s">
        <v>29</v>
      </c>
      <c r="AH301" t="s">
        <v>131</v>
      </c>
      <c r="BF301" t="s">
        <v>131</v>
      </c>
      <c r="BG301" t="s">
        <v>29</v>
      </c>
      <c r="BH301">
        <v>6</v>
      </c>
      <c r="BI301" t="s">
        <v>499</v>
      </c>
      <c r="CG301" t="s">
        <v>8</v>
      </c>
      <c r="CH301" t="s">
        <v>130</v>
      </c>
      <c r="CI301">
        <v>95772</v>
      </c>
      <c r="CJ301" t="s">
        <v>499</v>
      </c>
    </row>
    <row r="302" spans="1:88" x14ac:dyDescent="0.25">
      <c r="A302" t="s">
        <v>21</v>
      </c>
      <c r="B302" t="s">
        <v>76</v>
      </c>
      <c r="C302" t="s">
        <v>241</v>
      </c>
      <c r="D302">
        <v>99979</v>
      </c>
      <c r="E302">
        <v>8</v>
      </c>
      <c r="F302" s="24" t="str">
        <f t="shared" si="40"/>
        <v>2023-12</v>
      </c>
      <c r="O302" t="s">
        <v>5</v>
      </c>
      <c r="P302" t="s">
        <v>249</v>
      </c>
      <c r="Q302">
        <v>6</v>
      </c>
      <c r="AA302">
        <v>99979</v>
      </c>
      <c r="AB302" t="s">
        <v>76</v>
      </c>
      <c r="AD302">
        <f t="shared" si="38"/>
        <v>0</v>
      </c>
      <c r="AE302">
        <f t="shared" si="39"/>
        <v>0</v>
      </c>
      <c r="AG302" t="s">
        <v>5</v>
      </c>
      <c r="AH302" t="s">
        <v>249</v>
      </c>
      <c r="BF302" t="s">
        <v>249</v>
      </c>
      <c r="BG302" t="s">
        <v>5</v>
      </c>
      <c r="BH302">
        <v>6</v>
      </c>
      <c r="BI302" t="s">
        <v>499</v>
      </c>
      <c r="CG302" t="s">
        <v>21</v>
      </c>
      <c r="CH302" t="s">
        <v>76</v>
      </c>
      <c r="CI302">
        <v>99979</v>
      </c>
      <c r="CJ302" t="s">
        <v>499</v>
      </c>
    </row>
    <row r="303" spans="1:88" x14ac:dyDescent="0.25">
      <c r="A303" t="s">
        <v>8</v>
      </c>
      <c r="B303" t="s">
        <v>100</v>
      </c>
      <c r="C303" t="s">
        <v>243</v>
      </c>
      <c r="D303">
        <v>54133</v>
      </c>
      <c r="E303">
        <v>9</v>
      </c>
      <c r="F303" s="24" t="str">
        <f t="shared" si="40"/>
        <v>2023-12</v>
      </c>
      <c r="O303" t="s">
        <v>37</v>
      </c>
      <c r="P303" t="s">
        <v>242</v>
      </c>
      <c r="Q303">
        <v>8</v>
      </c>
      <c r="AA303">
        <v>54133</v>
      </c>
      <c r="AB303" t="s">
        <v>100</v>
      </c>
      <c r="AD303">
        <f t="shared" si="38"/>
        <v>0</v>
      </c>
      <c r="AE303">
        <f t="shared" si="39"/>
        <v>0</v>
      </c>
      <c r="AG303" t="s">
        <v>37</v>
      </c>
      <c r="AH303" t="s">
        <v>242</v>
      </c>
      <c r="BF303" t="s">
        <v>242</v>
      </c>
      <c r="BG303" t="s">
        <v>37</v>
      </c>
      <c r="BH303">
        <v>8</v>
      </c>
      <c r="BI303" t="s">
        <v>499</v>
      </c>
      <c r="CG303" t="s">
        <v>8</v>
      </c>
      <c r="CH303" t="s">
        <v>100</v>
      </c>
      <c r="CI303">
        <v>54133</v>
      </c>
      <c r="CJ303" t="s">
        <v>499</v>
      </c>
    </row>
    <row r="304" spans="1:88" x14ac:dyDescent="0.25">
      <c r="A304" t="s">
        <v>10</v>
      </c>
      <c r="B304" t="s">
        <v>39</v>
      </c>
      <c r="C304" t="s">
        <v>243</v>
      </c>
      <c r="D304">
        <v>43057</v>
      </c>
      <c r="E304">
        <v>5</v>
      </c>
      <c r="F304" s="24" t="str">
        <f t="shared" si="40"/>
        <v>2023-12</v>
      </c>
      <c r="O304" t="s">
        <v>53</v>
      </c>
      <c r="P304" t="s">
        <v>142</v>
      </c>
      <c r="Q304">
        <v>7</v>
      </c>
      <c r="AA304">
        <v>43057</v>
      </c>
      <c r="AB304" t="s">
        <v>39</v>
      </c>
      <c r="AD304">
        <f t="shared" si="38"/>
        <v>0</v>
      </c>
      <c r="AE304">
        <f t="shared" si="39"/>
        <v>0</v>
      </c>
      <c r="AG304" t="s">
        <v>53</v>
      </c>
      <c r="AH304" t="s">
        <v>142</v>
      </c>
      <c r="BF304" t="s">
        <v>142</v>
      </c>
      <c r="BG304" t="s">
        <v>53</v>
      </c>
      <c r="BH304">
        <v>7</v>
      </c>
      <c r="BI304" t="s">
        <v>499</v>
      </c>
      <c r="CG304" t="s">
        <v>10</v>
      </c>
      <c r="CH304" t="s">
        <v>39</v>
      </c>
      <c r="CI304">
        <v>43057</v>
      </c>
      <c r="CJ304" t="s">
        <v>499</v>
      </c>
    </row>
    <row r="305" spans="1:88" x14ac:dyDescent="0.25">
      <c r="A305" t="s">
        <v>55</v>
      </c>
      <c r="B305" t="s">
        <v>98</v>
      </c>
      <c r="C305" t="s">
        <v>243</v>
      </c>
      <c r="D305">
        <v>41554</v>
      </c>
      <c r="E305">
        <v>7</v>
      </c>
      <c r="F305" s="24" t="str">
        <f t="shared" si="40"/>
        <v>2023-12</v>
      </c>
      <c r="O305" t="s">
        <v>29</v>
      </c>
      <c r="P305" t="s">
        <v>225</v>
      </c>
      <c r="Q305">
        <v>6</v>
      </c>
      <c r="AA305">
        <v>41554</v>
      </c>
      <c r="AB305" t="s">
        <v>98</v>
      </c>
      <c r="AD305">
        <f t="shared" si="38"/>
        <v>0</v>
      </c>
      <c r="AE305">
        <f t="shared" si="39"/>
        <v>0</v>
      </c>
      <c r="AG305" t="s">
        <v>29</v>
      </c>
      <c r="AH305" t="s">
        <v>225</v>
      </c>
      <c r="BF305" t="s">
        <v>225</v>
      </c>
      <c r="BG305" t="s">
        <v>29</v>
      </c>
      <c r="BH305">
        <v>6</v>
      </c>
      <c r="BI305" t="s">
        <v>499</v>
      </c>
      <c r="CG305" t="s">
        <v>55</v>
      </c>
      <c r="CH305" t="s">
        <v>98</v>
      </c>
      <c r="CI305">
        <v>41554</v>
      </c>
      <c r="CJ305" t="s">
        <v>499</v>
      </c>
    </row>
    <row r="306" spans="1:88" x14ac:dyDescent="0.25">
      <c r="A306" t="s">
        <v>16</v>
      </c>
      <c r="B306" t="s">
        <v>244</v>
      </c>
      <c r="C306" t="s">
        <v>245</v>
      </c>
      <c r="D306">
        <v>28523</v>
      </c>
      <c r="E306">
        <v>2</v>
      </c>
      <c r="F306" s="24" t="str">
        <f t="shared" si="40"/>
        <v>2023-12</v>
      </c>
      <c r="O306" t="s">
        <v>37</v>
      </c>
      <c r="P306" t="s">
        <v>251</v>
      </c>
      <c r="Q306">
        <v>0</v>
      </c>
      <c r="AA306">
        <v>28523</v>
      </c>
      <c r="AB306" t="s">
        <v>244</v>
      </c>
      <c r="AD306">
        <f t="shared" si="38"/>
        <v>0</v>
      </c>
      <c r="AE306">
        <f t="shared" si="39"/>
        <v>0</v>
      </c>
      <c r="AG306" t="s">
        <v>37</v>
      </c>
      <c r="AH306" t="s">
        <v>251</v>
      </c>
      <c r="BF306" t="s">
        <v>251</v>
      </c>
      <c r="BG306" t="s">
        <v>37</v>
      </c>
      <c r="BH306">
        <v>0</v>
      </c>
      <c r="BI306" t="s">
        <v>499</v>
      </c>
      <c r="CG306" t="s">
        <v>16</v>
      </c>
      <c r="CH306" t="s">
        <v>244</v>
      </c>
      <c r="CI306">
        <v>28523</v>
      </c>
      <c r="CJ306" t="s">
        <v>499</v>
      </c>
    </row>
    <row r="307" spans="1:88" x14ac:dyDescent="0.25">
      <c r="A307" t="s">
        <v>29</v>
      </c>
      <c r="B307" t="s">
        <v>87</v>
      </c>
      <c r="C307" t="s">
        <v>245</v>
      </c>
      <c r="D307">
        <v>47460</v>
      </c>
      <c r="E307">
        <v>9</v>
      </c>
      <c r="F307" s="24" t="str">
        <f t="shared" si="40"/>
        <v>2023-12</v>
      </c>
      <c r="O307" t="s">
        <v>53</v>
      </c>
      <c r="P307" t="s">
        <v>41</v>
      </c>
      <c r="Q307">
        <v>8</v>
      </c>
      <c r="AA307">
        <v>47460</v>
      </c>
      <c r="AB307" t="s">
        <v>87</v>
      </c>
      <c r="AD307">
        <f t="shared" si="38"/>
        <v>0</v>
      </c>
      <c r="AE307">
        <f t="shared" si="39"/>
        <v>0</v>
      </c>
      <c r="AG307" t="s">
        <v>53</v>
      </c>
      <c r="AH307" t="s">
        <v>41</v>
      </c>
      <c r="BF307" t="s">
        <v>41</v>
      </c>
      <c r="BG307" t="s">
        <v>53</v>
      </c>
      <c r="BH307">
        <v>8</v>
      </c>
      <c r="BI307" t="s">
        <v>499</v>
      </c>
      <c r="CG307" t="s">
        <v>29</v>
      </c>
      <c r="CH307" t="s">
        <v>87</v>
      </c>
      <c r="CI307">
        <v>47460</v>
      </c>
      <c r="CJ307" t="s">
        <v>499</v>
      </c>
    </row>
    <row r="308" spans="1:88" x14ac:dyDescent="0.25">
      <c r="A308" t="s">
        <v>35</v>
      </c>
      <c r="B308" t="s">
        <v>92</v>
      </c>
      <c r="C308" t="s">
        <v>245</v>
      </c>
      <c r="D308">
        <v>10794</v>
      </c>
      <c r="E308">
        <v>6</v>
      </c>
      <c r="F308" s="24" t="str">
        <f t="shared" si="40"/>
        <v>2023-12</v>
      </c>
      <c r="O308" t="s">
        <v>55</v>
      </c>
      <c r="P308" t="s">
        <v>42</v>
      </c>
      <c r="Q308">
        <v>8</v>
      </c>
      <c r="AA308">
        <v>10794</v>
      </c>
      <c r="AB308" t="s">
        <v>92</v>
      </c>
      <c r="AD308">
        <f t="shared" si="38"/>
        <v>0</v>
      </c>
      <c r="AE308">
        <f t="shared" si="39"/>
        <v>0</v>
      </c>
      <c r="AG308" t="s">
        <v>55</v>
      </c>
      <c r="AH308" t="s">
        <v>42</v>
      </c>
      <c r="BF308" t="s">
        <v>42</v>
      </c>
      <c r="BG308" t="s">
        <v>55</v>
      </c>
      <c r="BH308">
        <v>8</v>
      </c>
      <c r="BI308" t="s">
        <v>499</v>
      </c>
      <c r="CG308" t="s">
        <v>35</v>
      </c>
      <c r="CH308" t="s">
        <v>92</v>
      </c>
      <c r="CI308">
        <v>10794</v>
      </c>
      <c r="CJ308" t="s">
        <v>499</v>
      </c>
    </row>
    <row r="309" spans="1:88" x14ac:dyDescent="0.25">
      <c r="A309" t="s">
        <v>35</v>
      </c>
      <c r="B309" t="s">
        <v>164</v>
      </c>
      <c r="C309" t="s">
        <v>245</v>
      </c>
      <c r="D309">
        <v>64114</v>
      </c>
      <c r="E309">
        <v>6</v>
      </c>
      <c r="F309" s="24" t="str">
        <f t="shared" si="40"/>
        <v>2023-12</v>
      </c>
      <c r="O309" t="s">
        <v>21</v>
      </c>
      <c r="P309" t="s">
        <v>196</v>
      </c>
      <c r="Q309">
        <v>5</v>
      </c>
      <c r="AA309">
        <v>64114</v>
      </c>
      <c r="AB309" t="s">
        <v>164</v>
      </c>
      <c r="AD309">
        <f t="shared" si="38"/>
        <v>0</v>
      </c>
      <c r="AE309">
        <f t="shared" si="39"/>
        <v>0</v>
      </c>
      <c r="AG309" t="s">
        <v>21</v>
      </c>
      <c r="AH309" t="s">
        <v>196</v>
      </c>
      <c r="BF309" t="s">
        <v>196</v>
      </c>
      <c r="BG309" t="s">
        <v>21</v>
      </c>
      <c r="BH309">
        <v>5</v>
      </c>
      <c r="BI309" t="s">
        <v>499</v>
      </c>
      <c r="CG309" t="s">
        <v>35</v>
      </c>
      <c r="CH309" t="s">
        <v>164</v>
      </c>
      <c r="CI309">
        <v>64114</v>
      </c>
      <c r="CJ309" t="s">
        <v>499</v>
      </c>
    </row>
    <row r="310" spans="1:88" x14ac:dyDescent="0.25">
      <c r="A310" t="s">
        <v>10</v>
      </c>
      <c r="B310" t="s">
        <v>30</v>
      </c>
      <c r="C310" t="s">
        <v>245</v>
      </c>
      <c r="D310">
        <v>30146</v>
      </c>
      <c r="E310">
        <v>3</v>
      </c>
      <c r="F310" s="24" t="str">
        <f t="shared" si="40"/>
        <v>2023-12</v>
      </c>
      <c r="O310" t="s">
        <v>5</v>
      </c>
      <c r="P310" t="s">
        <v>253</v>
      </c>
      <c r="Q310">
        <v>6</v>
      </c>
      <c r="AA310">
        <v>30146</v>
      </c>
      <c r="AB310" t="s">
        <v>30</v>
      </c>
      <c r="AD310">
        <f t="shared" si="38"/>
        <v>0</v>
      </c>
      <c r="AE310">
        <f t="shared" si="39"/>
        <v>0</v>
      </c>
      <c r="AG310" t="s">
        <v>5</v>
      </c>
      <c r="AH310" t="s">
        <v>253</v>
      </c>
      <c r="BF310" t="s">
        <v>253</v>
      </c>
      <c r="BG310" t="s">
        <v>5</v>
      </c>
      <c r="BH310">
        <v>6</v>
      </c>
      <c r="BI310" t="s">
        <v>499</v>
      </c>
      <c r="CG310" t="s">
        <v>10</v>
      </c>
      <c r="CH310" t="s">
        <v>30</v>
      </c>
      <c r="CI310">
        <v>30146</v>
      </c>
      <c r="CJ310" t="s">
        <v>499</v>
      </c>
    </row>
    <row r="311" spans="1:88" x14ac:dyDescent="0.25">
      <c r="A311" t="s">
        <v>14</v>
      </c>
      <c r="B311" t="s">
        <v>125</v>
      </c>
      <c r="C311" t="s">
        <v>246</v>
      </c>
      <c r="D311">
        <v>24358</v>
      </c>
      <c r="E311">
        <v>7</v>
      </c>
      <c r="F311" s="24" t="str">
        <f t="shared" si="40"/>
        <v>2023-12</v>
      </c>
      <c r="O311" t="s">
        <v>75</v>
      </c>
      <c r="P311" t="s">
        <v>71</v>
      </c>
      <c r="Q311">
        <v>3</v>
      </c>
      <c r="AA311">
        <v>24358</v>
      </c>
      <c r="AB311" t="s">
        <v>125</v>
      </c>
      <c r="AD311">
        <f t="shared" si="38"/>
        <v>0</v>
      </c>
      <c r="AE311">
        <f t="shared" si="39"/>
        <v>0</v>
      </c>
      <c r="AG311" t="s">
        <v>75</v>
      </c>
      <c r="AH311" t="s">
        <v>71</v>
      </c>
      <c r="BF311" t="s">
        <v>71</v>
      </c>
      <c r="BG311" t="s">
        <v>75</v>
      </c>
      <c r="BH311">
        <v>3</v>
      </c>
      <c r="BI311" t="s">
        <v>499</v>
      </c>
      <c r="CG311" t="s">
        <v>14</v>
      </c>
      <c r="CH311" t="s">
        <v>125</v>
      </c>
      <c r="CI311">
        <v>24358</v>
      </c>
      <c r="CJ311" t="s">
        <v>499</v>
      </c>
    </row>
    <row r="312" spans="1:88" x14ac:dyDescent="0.25">
      <c r="A312" t="s">
        <v>5</v>
      </c>
      <c r="B312" t="s">
        <v>131</v>
      </c>
      <c r="C312" t="s">
        <v>246</v>
      </c>
      <c r="D312">
        <v>92143</v>
      </c>
      <c r="E312">
        <v>5</v>
      </c>
      <c r="F312" s="24" t="str">
        <f t="shared" si="40"/>
        <v>2023-12</v>
      </c>
      <c r="O312" t="s">
        <v>16</v>
      </c>
      <c r="P312" t="s">
        <v>20</v>
      </c>
      <c r="Q312">
        <v>9</v>
      </c>
      <c r="AA312">
        <v>92143</v>
      </c>
      <c r="AB312" t="s">
        <v>131</v>
      </c>
      <c r="AD312">
        <f t="shared" si="38"/>
        <v>0</v>
      </c>
      <c r="AE312">
        <f t="shared" si="39"/>
        <v>0</v>
      </c>
      <c r="AG312" t="s">
        <v>16</v>
      </c>
      <c r="AH312" t="s">
        <v>20</v>
      </c>
      <c r="BF312" t="s">
        <v>20</v>
      </c>
      <c r="BG312" t="s">
        <v>16</v>
      </c>
      <c r="BH312">
        <v>9</v>
      </c>
      <c r="BI312" t="s">
        <v>499</v>
      </c>
      <c r="CG312" t="s">
        <v>5</v>
      </c>
      <c r="CH312" t="s">
        <v>131</v>
      </c>
      <c r="CI312">
        <v>92143</v>
      </c>
      <c r="CJ312" t="s">
        <v>499</v>
      </c>
    </row>
    <row r="313" spans="1:88" x14ac:dyDescent="0.25">
      <c r="A313" t="s">
        <v>55</v>
      </c>
      <c r="B313" t="s">
        <v>247</v>
      </c>
      <c r="C313" t="s">
        <v>246</v>
      </c>
      <c r="D313">
        <v>32151</v>
      </c>
      <c r="E313">
        <v>8</v>
      </c>
      <c r="F313" s="24" t="str">
        <f t="shared" si="40"/>
        <v>2023-12</v>
      </c>
      <c r="O313" t="s">
        <v>75</v>
      </c>
      <c r="P313" t="s">
        <v>255</v>
      </c>
      <c r="Q313">
        <v>8</v>
      </c>
      <c r="AA313">
        <v>32151</v>
      </c>
      <c r="AB313" t="s">
        <v>247</v>
      </c>
      <c r="AD313">
        <f t="shared" si="38"/>
        <v>0</v>
      </c>
      <c r="AE313">
        <f t="shared" si="39"/>
        <v>0</v>
      </c>
      <c r="AG313" t="s">
        <v>75</v>
      </c>
      <c r="AH313" t="s">
        <v>255</v>
      </c>
      <c r="BF313" t="s">
        <v>255</v>
      </c>
      <c r="BG313" t="s">
        <v>75</v>
      </c>
      <c r="BH313">
        <v>8</v>
      </c>
      <c r="BI313" t="s">
        <v>499</v>
      </c>
      <c r="CG313" t="s">
        <v>55</v>
      </c>
      <c r="CH313" t="s">
        <v>247</v>
      </c>
      <c r="CI313">
        <v>32151</v>
      </c>
      <c r="CJ313" t="s">
        <v>499</v>
      </c>
    </row>
    <row r="314" spans="1:88" x14ac:dyDescent="0.25">
      <c r="A314" t="s">
        <v>5</v>
      </c>
      <c r="B314" t="s">
        <v>49</v>
      </c>
      <c r="C314" t="s">
        <v>246</v>
      </c>
      <c r="D314">
        <v>25728</v>
      </c>
      <c r="E314">
        <v>6</v>
      </c>
      <c r="F314" s="24" t="str">
        <f t="shared" si="40"/>
        <v>2023-12</v>
      </c>
      <c r="O314" t="s">
        <v>55</v>
      </c>
      <c r="P314" t="s">
        <v>20</v>
      </c>
      <c r="Q314">
        <v>9</v>
      </c>
      <c r="AA314">
        <v>25728</v>
      </c>
      <c r="AB314" t="s">
        <v>49</v>
      </c>
      <c r="AD314">
        <f t="shared" si="38"/>
        <v>0</v>
      </c>
      <c r="AE314">
        <f t="shared" si="39"/>
        <v>0</v>
      </c>
      <c r="AG314" t="s">
        <v>55</v>
      </c>
      <c r="AH314" t="s">
        <v>20</v>
      </c>
      <c r="BF314" t="s">
        <v>20</v>
      </c>
      <c r="BG314" t="s">
        <v>55</v>
      </c>
      <c r="BH314">
        <v>9</v>
      </c>
      <c r="BI314" t="s">
        <v>499</v>
      </c>
      <c r="CG314" t="s">
        <v>5</v>
      </c>
      <c r="CH314" t="s">
        <v>49</v>
      </c>
      <c r="CI314">
        <v>25728</v>
      </c>
      <c r="CJ314" t="s">
        <v>499</v>
      </c>
    </row>
    <row r="315" spans="1:88" x14ac:dyDescent="0.25">
      <c r="A315" t="s">
        <v>75</v>
      </c>
      <c r="B315" t="s">
        <v>113</v>
      </c>
      <c r="C315" t="s">
        <v>248</v>
      </c>
      <c r="D315">
        <v>13287</v>
      </c>
      <c r="E315">
        <v>8</v>
      </c>
      <c r="F315" s="24" t="str">
        <f t="shared" si="40"/>
        <v>2023-12</v>
      </c>
      <c r="O315" t="s">
        <v>53</v>
      </c>
      <c r="P315" t="s">
        <v>56</v>
      </c>
      <c r="Q315">
        <v>4</v>
      </c>
      <c r="AA315">
        <v>13287</v>
      </c>
      <c r="AB315" t="s">
        <v>113</v>
      </c>
      <c r="AD315">
        <f t="shared" si="38"/>
        <v>0</v>
      </c>
      <c r="AE315">
        <f t="shared" si="39"/>
        <v>0</v>
      </c>
      <c r="AG315" t="s">
        <v>53</v>
      </c>
      <c r="AH315" t="s">
        <v>56</v>
      </c>
      <c r="BF315" t="s">
        <v>56</v>
      </c>
      <c r="BG315" t="s">
        <v>53</v>
      </c>
      <c r="BH315">
        <v>4</v>
      </c>
      <c r="BI315" t="s">
        <v>499</v>
      </c>
      <c r="CG315" t="s">
        <v>75</v>
      </c>
      <c r="CH315" t="s">
        <v>113</v>
      </c>
      <c r="CI315">
        <v>13287</v>
      </c>
      <c r="CJ315" t="s">
        <v>499</v>
      </c>
    </row>
    <row r="316" spans="1:88" x14ac:dyDescent="0.25">
      <c r="A316" t="s">
        <v>5</v>
      </c>
      <c r="B316" t="s">
        <v>161</v>
      </c>
      <c r="C316" t="s">
        <v>248</v>
      </c>
      <c r="D316">
        <v>18132</v>
      </c>
      <c r="E316">
        <v>7</v>
      </c>
      <c r="F316" s="24" t="str">
        <f t="shared" si="40"/>
        <v>2023-12</v>
      </c>
      <c r="O316" t="s">
        <v>10</v>
      </c>
      <c r="P316" t="s">
        <v>237</v>
      </c>
      <c r="Q316">
        <v>4</v>
      </c>
      <c r="AA316">
        <v>18132</v>
      </c>
      <c r="AB316" t="s">
        <v>161</v>
      </c>
      <c r="AD316">
        <f t="shared" si="38"/>
        <v>0</v>
      </c>
      <c r="AE316">
        <f t="shared" si="39"/>
        <v>0</v>
      </c>
      <c r="AG316" t="s">
        <v>10</v>
      </c>
      <c r="AH316" t="s">
        <v>237</v>
      </c>
      <c r="BF316" t="s">
        <v>237</v>
      </c>
      <c r="BG316" t="s">
        <v>10</v>
      </c>
      <c r="BH316">
        <v>4</v>
      </c>
      <c r="BI316" t="s">
        <v>499</v>
      </c>
      <c r="CG316" t="s">
        <v>5</v>
      </c>
      <c r="CH316" t="s">
        <v>161</v>
      </c>
      <c r="CI316">
        <v>18132</v>
      </c>
      <c r="CJ316" t="s">
        <v>499</v>
      </c>
    </row>
    <row r="317" spans="1:88" x14ac:dyDescent="0.25">
      <c r="A317" t="s">
        <v>16</v>
      </c>
      <c r="B317" t="s">
        <v>115</v>
      </c>
      <c r="C317" t="s">
        <v>248</v>
      </c>
      <c r="D317">
        <v>14019</v>
      </c>
      <c r="E317">
        <v>2</v>
      </c>
      <c r="F317" s="24" t="str">
        <f t="shared" si="40"/>
        <v>2023-12</v>
      </c>
      <c r="O317" t="s">
        <v>10</v>
      </c>
      <c r="P317" t="s">
        <v>258</v>
      </c>
      <c r="Q317">
        <v>9</v>
      </c>
      <c r="AA317">
        <v>14019</v>
      </c>
      <c r="AB317" t="s">
        <v>115</v>
      </c>
      <c r="AD317">
        <f t="shared" si="38"/>
        <v>0</v>
      </c>
      <c r="AE317">
        <f t="shared" si="39"/>
        <v>0</v>
      </c>
      <c r="AG317" t="s">
        <v>10</v>
      </c>
      <c r="AH317" t="s">
        <v>258</v>
      </c>
      <c r="BF317" t="s">
        <v>258</v>
      </c>
      <c r="BG317" t="s">
        <v>10</v>
      </c>
      <c r="BH317">
        <v>9</v>
      </c>
      <c r="BI317" t="s">
        <v>499</v>
      </c>
      <c r="CG317" t="s">
        <v>16</v>
      </c>
      <c r="CH317" t="s">
        <v>115</v>
      </c>
      <c r="CI317">
        <v>14019</v>
      </c>
      <c r="CJ317" t="s">
        <v>499</v>
      </c>
    </row>
    <row r="318" spans="1:88" x14ac:dyDescent="0.25">
      <c r="A318" t="s">
        <v>29</v>
      </c>
      <c r="B318" t="s">
        <v>49</v>
      </c>
      <c r="C318" t="s">
        <v>248</v>
      </c>
      <c r="D318">
        <v>69132</v>
      </c>
      <c r="E318">
        <v>3</v>
      </c>
      <c r="F318" s="24" t="str">
        <f t="shared" si="40"/>
        <v>2023-12</v>
      </c>
      <c r="O318" t="s">
        <v>5</v>
      </c>
      <c r="P318" t="s">
        <v>170</v>
      </c>
      <c r="Q318">
        <v>10</v>
      </c>
      <c r="AA318">
        <v>69132</v>
      </c>
      <c r="AB318" t="s">
        <v>49</v>
      </c>
      <c r="AD318">
        <f t="shared" si="38"/>
        <v>0</v>
      </c>
      <c r="AE318">
        <f t="shared" si="39"/>
        <v>0</v>
      </c>
      <c r="AG318" t="s">
        <v>5</v>
      </c>
      <c r="AH318" t="s">
        <v>170</v>
      </c>
      <c r="BF318" t="s">
        <v>170</v>
      </c>
      <c r="BG318" t="s">
        <v>5</v>
      </c>
      <c r="BH318">
        <v>10</v>
      </c>
      <c r="BI318" t="s">
        <v>499</v>
      </c>
      <c r="CG318" t="s">
        <v>29</v>
      </c>
      <c r="CH318" t="s">
        <v>49</v>
      </c>
      <c r="CI318">
        <v>69132</v>
      </c>
      <c r="CJ318" t="s">
        <v>499</v>
      </c>
    </row>
    <row r="319" spans="1:88" x14ac:dyDescent="0.25">
      <c r="A319" t="s">
        <v>21</v>
      </c>
      <c r="B319" t="s">
        <v>88</v>
      </c>
      <c r="C319" t="s">
        <v>248</v>
      </c>
      <c r="D319">
        <v>49174</v>
      </c>
      <c r="E319">
        <v>6</v>
      </c>
      <c r="F319" s="24" t="str">
        <f t="shared" si="40"/>
        <v>2023-12</v>
      </c>
      <c r="O319" t="s">
        <v>75</v>
      </c>
      <c r="P319" t="s">
        <v>155</v>
      </c>
      <c r="Q319">
        <v>7</v>
      </c>
      <c r="AA319">
        <v>49174</v>
      </c>
      <c r="AB319" t="s">
        <v>88</v>
      </c>
      <c r="AD319">
        <f t="shared" si="38"/>
        <v>0</v>
      </c>
      <c r="AE319">
        <f t="shared" si="39"/>
        <v>0</v>
      </c>
      <c r="AG319" t="s">
        <v>75</v>
      </c>
      <c r="AH319" t="s">
        <v>155</v>
      </c>
      <c r="BF319" t="s">
        <v>155</v>
      </c>
      <c r="BG319" t="s">
        <v>75</v>
      </c>
      <c r="BH319">
        <v>7</v>
      </c>
      <c r="BI319" t="s">
        <v>499</v>
      </c>
      <c r="CG319" t="s">
        <v>21</v>
      </c>
      <c r="CH319" t="s">
        <v>88</v>
      </c>
      <c r="CI319">
        <v>49174</v>
      </c>
      <c r="CJ319" t="s">
        <v>499</v>
      </c>
    </row>
    <row r="320" spans="1:88" x14ac:dyDescent="0.25">
      <c r="A320" t="s">
        <v>29</v>
      </c>
      <c r="B320" t="s">
        <v>56</v>
      </c>
      <c r="C320" t="s">
        <v>248</v>
      </c>
      <c r="D320">
        <v>10598</v>
      </c>
      <c r="E320">
        <v>7</v>
      </c>
      <c r="F320" s="24" t="str">
        <f t="shared" si="40"/>
        <v>2023-12</v>
      </c>
      <c r="O320" t="s">
        <v>21</v>
      </c>
      <c r="P320" t="s">
        <v>156</v>
      </c>
      <c r="Q320">
        <v>6</v>
      </c>
      <c r="AA320">
        <v>10598</v>
      </c>
      <c r="AB320" t="s">
        <v>56</v>
      </c>
      <c r="AD320">
        <f t="shared" si="38"/>
        <v>0</v>
      </c>
      <c r="AE320">
        <f t="shared" si="39"/>
        <v>0</v>
      </c>
      <c r="AG320" t="s">
        <v>21</v>
      </c>
      <c r="AH320" t="s">
        <v>156</v>
      </c>
      <c r="BF320" t="s">
        <v>156</v>
      </c>
      <c r="BG320" t="s">
        <v>21</v>
      </c>
      <c r="BH320">
        <v>6</v>
      </c>
      <c r="BI320" t="s">
        <v>499</v>
      </c>
      <c r="CG320" t="s">
        <v>29</v>
      </c>
      <c r="CH320" t="s">
        <v>56</v>
      </c>
      <c r="CI320">
        <v>10598</v>
      </c>
      <c r="CJ320" t="s">
        <v>499</v>
      </c>
    </row>
    <row r="321" spans="1:88" x14ac:dyDescent="0.25">
      <c r="A321" t="s">
        <v>35</v>
      </c>
      <c r="B321" t="s">
        <v>145</v>
      </c>
      <c r="C321" t="s">
        <v>248</v>
      </c>
      <c r="D321">
        <v>58518</v>
      </c>
      <c r="E321">
        <v>7</v>
      </c>
      <c r="F321" s="24" t="str">
        <f t="shared" si="40"/>
        <v>2023-12</v>
      </c>
      <c r="O321" t="s">
        <v>14</v>
      </c>
      <c r="P321" t="s">
        <v>220</v>
      </c>
      <c r="Q321">
        <v>8</v>
      </c>
      <c r="AA321">
        <v>58518</v>
      </c>
      <c r="AB321" t="s">
        <v>145</v>
      </c>
      <c r="AD321">
        <f t="shared" si="38"/>
        <v>0</v>
      </c>
      <c r="AE321">
        <f t="shared" si="39"/>
        <v>0</v>
      </c>
      <c r="AG321" t="s">
        <v>14</v>
      </c>
      <c r="AH321" t="s">
        <v>220</v>
      </c>
      <c r="BF321" t="s">
        <v>220</v>
      </c>
      <c r="BG321" t="s">
        <v>14</v>
      </c>
      <c r="BH321">
        <v>8</v>
      </c>
      <c r="BI321" t="s">
        <v>499</v>
      </c>
      <c r="CG321" t="s">
        <v>35</v>
      </c>
      <c r="CH321" t="s">
        <v>145</v>
      </c>
      <c r="CI321">
        <v>58518</v>
      </c>
      <c r="CJ321" t="s">
        <v>499</v>
      </c>
    </row>
    <row r="322" spans="1:88" x14ac:dyDescent="0.25">
      <c r="A322" t="s">
        <v>29</v>
      </c>
      <c r="B322" t="s">
        <v>131</v>
      </c>
      <c r="C322" t="s">
        <v>248</v>
      </c>
      <c r="D322">
        <v>75815</v>
      </c>
      <c r="E322">
        <v>6</v>
      </c>
      <c r="F322" s="24" t="str">
        <f t="shared" si="40"/>
        <v>2023-12</v>
      </c>
      <c r="O322" t="s">
        <v>37</v>
      </c>
      <c r="P322" t="s">
        <v>213</v>
      </c>
      <c r="Q322">
        <v>7</v>
      </c>
      <c r="AA322">
        <v>75815</v>
      </c>
      <c r="AB322" t="s">
        <v>131</v>
      </c>
      <c r="AD322">
        <f t="shared" ref="AD322:AD385" si="41">COUNTIF(AB:AB,AC322)</f>
        <v>0</v>
      </c>
      <c r="AE322">
        <f t="shared" ref="AE322:AE385" si="42">SUMIF(AB:AB,AC322,AA:AA)</f>
        <v>0</v>
      </c>
      <c r="AG322" t="s">
        <v>37</v>
      </c>
      <c r="AH322" t="s">
        <v>213</v>
      </c>
      <c r="BF322" t="s">
        <v>213</v>
      </c>
      <c r="BG322" t="s">
        <v>37</v>
      </c>
      <c r="BH322">
        <v>7</v>
      </c>
      <c r="BI322" t="s">
        <v>499</v>
      </c>
      <c r="CG322" t="s">
        <v>29</v>
      </c>
      <c r="CH322" t="s">
        <v>131</v>
      </c>
      <c r="CI322">
        <v>75815</v>
      </c>
      <c r="CJ322" t="s">
        <v>499</v>
      </c>
    </row>
    <row r="323" spans="1:88" x14ac:dyDescent="0.25">
      <c r="A323" t="s">
        <v>5</v>
      </c>
      <c r="B323" t="s">
        <v>249</v>
      </c>
      <c r="C323" t="s">
        <v>248</v>
      </c>
      <c r="D323">
        <v>72183</v>
      </c>
      <c r="E323">
        <v>6</v>
      </c>
      <c r="F323" s="24" t="str">
        <f t="shared" ref="F323:F386" si="43">YEAR(C323)&amp;"-"&amp;MONTH(C323)</f>
        <v>2023-12</v>
      </c>
      <c r="O323" t="s">
        <v>53</v>
      </c>
      <c r="P323" t="s">
        <v>88</v>
      </c>
      <c r="Q323">
        <v>6</v>
      </c>
      <c r="AA323">
        <v>72183</v>
      </c>
      <c r="AB323" t="s">
        <v>249</v>
      </c>
      <c r="AD323">
        <f t="shared" si="41"/>
        <v>0</v>
      </c>
      <c r="AE323">
        <f t="shared" si="42"/>
        <v>0</v>
      </c>
      <c r="AG323" t="s">
        <v>53</v>
      </c>
      <c r="AH323" t="s">
        <v>88</v>
      </c>
      <c r="BF323" t="s">
        <v>88</v>
      </c>
      <c r="BG323" t="s">
        <v>53</v>
      </c>
      <c r="BH323">
        <v>6</v>
      </c>
      <c r="BI323" t="s">
        <v>499</v>
      </c>
      <c r="CG323" t="s">
        <v>5</v>
      </c>
      <c r="CH323" t="s">
        <v>249</v>
      </c>
      <c r="CI323">
        <v>72183</v>
      </c>
      <c r="CJ323" t="s">
        <v>499</v>
      </c>
    </row>
    <row r="324" spans="1:88" x14ac:dyDescent="0.25">
      <c r="A324" t="s">
        <v>37</v>
      </c>
      <c r="B324" t="s">
        <v>242</v>
      </c>
      <c r="C324" t="s">
        <v>248</v>
      </c>
      <c r="D324">
        <v>36484</v>
      </c>
      <c r="E324">
        <v>8</v>
      </c>
      <c r="F324" s="24" t="str">
        <f t="shared" si="43"/>
        <v>2023-12</v>
      </c>
      <c r="O324" t="s">
        <v>16</v>
      </c>
      <c r="P324" t="s">
        <v>68</v>
      </c>
      <c r="Q324">
        <v>2</v>
      </c>
      <c r="AA324">
        <v>36484</v>
      </c>
      <c r="AB324" t="s">
        <v>242</v>
      </c>
      <c r="AD324">
        <f t="shared" si="41"/>
        <v>0</v>
      </c>
      <c r="AE324">
        <f t="shared" si="42"/>
        <v>0</v>
      </c>
      <c r="AG324" t="s">
        <v>16</v>
      </c>
      <c r="AH324" t="s">
        <v>68</v>
      </c>
      <c r="BF324" t="s">
        <v>68</v>
      </c>
      <c r="BG324" t="s">
        <v>16</v>
      </c>
      <c r="BH324">
        <v>2</v>
      </c>
      <c r="BI324" t="s">
        <v>499</v>
      </c>
      <c r="CG324" t="s">
        <v>37</v>
      </c>
      <c r="CH324" t="s">
        <v>242</v>
      </c>
      <c r="CI324">
        <v>36484</v>
      </c>
      <c r="CJ324" t="s">
        <v>499</v>
      </c>
    </row>
    <row r="325" spans="1:88" x14ac:dyDescent="0.25">
      <c r="A325" t="s">
        <v>53</v>
      </c>
      <c r="B325" t="s">
        <v>142</v>
      </c>
      <c r="C325" t="s">
        <v>250</v>
      </c>
      <c r="D325">
        <v>74460</v>
      </c>
      <c r="E325">
        <v>7</v>
      </c>
      <c r="F325" s="24" t="str">
        <f t="shared" si="43"/>
        <v>2023-12</v>
      </c>
      <c r="O325" t="s">
        <v>21</v>
      </c>
      <c r="P325" t="s">
        <v>39</v>
      </c>
      <c r="Q325">
        <v>1</v>
      </c>
      <c r="AA325">
        <v>74460</v>
      </c>
      <c r="AB325" t="s">
        <v>142</v>
      </c>
      <c r="AD325">
        <f t="shared" si="41"/>
        <v>0</v>
      </c>
      <c r="AE325">
        <f t="shared" si="42"/>
        <v>0</v>
      </c>
      <c r="AG325" t="s">
        <v>21</v>
      </c>
      <c r="AH325" t="s">
        <v>39</v>
      </c>
      <c r="BF325" t="s">
        <v>39</v>
      </c>
      <c r="BG325" t="s">
        <v>21</v>
      </c>
      <c r="BH325">
        <v>1</v>
      </c>
      <c r="BI325" t="s">
        <v>499</v>
      </c>
      <c r="CG325" t="s">
        <v>53</v>
      </c>
      <c r="CH325" t="s">
        <v>142</v>
      </c>
      <c r="CI325">
        <v>74460</v>
      </c>
      <c r="CJ325" t="s">
        <v>499</v>
      </c>
    </row>
    <row r="326" spans="1:88" x14ac:dyDescent="0.25">
      <c r="A326" t="s">
        <v>29</v>
      </c>
      <c r="B326" t="s">
        <v>225</v>
      </c>
      <c r="C326" t="s">
        <v>250</v>
      </c>
      <c r="D326">
        <v>28633</v>
      </c>
      <c r="E326">
        <v>6</v>
      </c>
      <c r="F326" s="24" t="str">
        <f t="shared" si="43"/>
        <v>2023-12</v>
      </c>
      <c r="O326" t="s">
        <v>53</v>
      </c>
      <c r="P326" t="s">
        <v>255</v>
      </c>
      <c r="Q326">
        <v>4</v>
      </c>
      <c r="AA326">
        <v>28633</v>
      </c>
      <c r="AB326" t="s">
        <v>225</v>
      </c>
      <c r="AD326">
        <f t="shared" si="41"/>
        <v>0</v>
      </c>
      <c r="AE326">
        <f t="shared" si="42"/>
        <v>0</v>
      </c>
      <c r="AG326" t="s">
        <v>53</v>
      </c>
      <c r="AH326" t="s">
        <v>255</v>
      </c>
      <c r="BF326" t="s">
        <v>255</v>
      </c>
      <c r="BG326" t="s">
        <v>53</v>
      </c>
      <c r="BH326">
        <v>4</v>
      </c>
      <c r="BI326" t="s">
        <v>499</v>
      </c>
      <c r="CG326" t="s">
        <v>29</v>
      </c>
      <c r="CH326" t="s">
        <v>225</v>
      </c>
      <c r="CI326">
        <v>28633</v>
      </c>
      <c r="CJ326" t="s">
        <v>499</v>
      </c>
    </row>
    <row r="327" spans="1:88" x14ac:dyDescent="0.25">
      <c r="A327" t="s">
        <v>37</v>
      </c>
      <c r="B327" t="s">
        <v>251</v>
      </c>
      <c r="C327" t="s">
        <v>250</v>
      </c>
      <c r="D327">
        <v>85700</v>
      </c>
      <c r="E327">
        <v>0</v>
      </c>
      <c r="F327" s="24" t="str">
        <f t="shared" si="43"/>
        <v>2023-12</v>
      </c>
      <c r="O327" t="s">
        <v>55</v>
      </c>
      <c r="P327" t="s">
        <v>261</v>
      </c>
      <c r="Q327">
        <v>4</v>
      </c>
      <c r="AA327">
        <v>85700</v>
      </c>
      <c r="AB327" t="s">
        <v>251</v>
      </c>
      <c r="AD327">
        <f t="shared" si="41"/>
        <v>0</v>
      </c>
      <c r="AE327">
        <f t="shared" si="42"/>
        <v>0</v>
      </c>
      <c r="AG327" t="s">
        <v>55</v>
      </c>
      <c r="AH327" t="s">
        <v>261</v>
      </c>
      <c r="BF327" t="s">
        <v>261</v>
      </c>
      <c r="BG327" t="s">
        <v>55</v>
      </c>
      <c r="BH327">
        <v>4</v>
      </c>
      <c r="BI327" t="s">
        <v>499</v>
      </c>
      <c r="CG327" t="s">
        <v>37</v>
      </c>
      <c r="CH327" t="s">
        <v>251</v>
      </c>
      <c r="CI327">
        <v>85700</v>
      </c>
      <c r="CJ327" t="s">
        <v>499</v>
      </c>
    </row>
    <row r="328" spans="1:88" x14ac:dyDescent="0.25">
      <c r="A328" t="s">
        <v>53</v>
      </c>
      <c r="B328" t="s">
        <v>41</v>
      </c>
      <c r="C328" t="s">
        <v>252</v>
      </c>
      <c r="D328">
        <v>22872</v>
      </c>
      <c r="E328">
        <v>8</v>
      </c>
      <c r="F328" s="24" t="str">
        <f t="shared" si="43"/>
        <v>2023-12</v>
      </c>
      <c r="O328" t="s">
        <v>75</v>
      </c>
      <c r="P328" t="s">
        <v>39</v>
      </c>
      <c r="Q328">
        <v>8</v>
      </c>
      <c r="AA328">
        <v>22872</v>
      </c>
      <c r="AB328" t="s">
        <v>41</v>
      </c>
      <c r="AD328">
        <f t="shared" si="41"/>
        <v>0</v>
      </c>
      <c r="AE328">
        <f t="shared" si="42"/>
        <v>0</v>
      </c>
      <c r="AG328" t="s">
        <v>75</v>
      </c>
      <c r="AH328" t="s">
        <v>39</v>
      </c>
      <c r="BF328" t="s">
        <v>39</v>
      </c>
      <c r="BG328" t="s">
        <v>75</v>
      </c>
      <c r="BH328">
        <v>8</v>
      </c>
      <c r="BI328" t="s">
        <v>499</v>
      </c>
      <c r="CG328" t="s">
        <v>53</v>
      </c>
      <c r="CH328" t="s">
        <v>41</v>
      </c>
      <c r="CI328">
        <v>22872</v>
      </c>
      <c r="CJ328" t="s">
        <v>499</v>
      </c>
    </row>
    <row r="329" spans="1:88" x14ac:dyDescent="0.25">
      <c r="A329" t="s">
        <v>55</v>
      </c>
      <c r="B329" t="s">
        <v>42</v>
      </c>
      <c r="C329" t="s">
        <v>252</v>
      </c>
      <c r="D329">
        <v>51960</v>
      </c>
      <c r="E329">
        <v>8</v>
      </c>
      <c r="F329" s="24" t="str">
        <f t="shared" si="43"/>
        <v>2023-12</v>
      </c>
      <c r="O329" t="s">
        <v>55</v>
      </c>
      <c r="P329" t="s">
        <v>100</v>
      </c>
      <c r="Q329">
        <v>7</v>
      </c>
      <c r="AA329">
        <v>51960</v>
      </c>
      <c r="AB329" t="s">
        <v>42</v>
      </c>
      <c r="AD329">
        <f t="shared" si="41"/>
        <v>0</v>
      </c>
      <c r="AE329">
        <f t="shared" si="42"/>
        <v>0</v>
      </c>
      <c r="AG329" t="s">
        <v>55</v>
      </c>
      <c r="AH329" t="s">
        <v>100</v>
      </c>
      <c r="BF329" t="s">
        <v>100</v>
      </c>
      <c r="BG329" t="s">
        <v>55</v>
      </c>
      <c r="BH329">
        <v>7</v>
      </c>
      <c r="BI329" t="s">
        <v>499</v>
      </c>
      <c r="CG329" t="s">
        <v>55</v>
      </c>
      <c r="CH329" t="s">
        <v>42</v>
      </c>
      <c r="CI329">
        <v>51960</v>
      </c>
      <c r="CJ329" t="s">
        <v>499</v>
      </c>
    </row>
    <row r="330" spans="1:88" x14ac:dyDescent="0.25">
      <c r="A330" t="s">
        <v>21</v>
      </c>
      <c r="B330" t="s">
        <v>196</v>
      </c>
      <c r="C330" t="s">
        <v>252</v>
      </c>
      <c r="D330">
        <v>70032</v>
      </c>
      <c r="E330">
        <v>5</v>
      </c>
      <c r="F330" s="24" t="str">
        <f t="shared" si="43"/>
        <v>2023-12</v>
      </c>
      <c r="O330" t="s">
        <v>37</v>
      </c>
      <c r="P330" t="s">
        <v>231</v>
      </c>
      <c r="Q330">
        <v>1</v>
      </c>
      <c r="AA330">
        <v>70032</v>
      </c>
      <c r="AB330" t="s">
        <v>196</v>
      </c>
      <c r="AD330">
        <f t="shared" si="41"/>
        <v>0</v>
      </c>
      <c r="AE330">
        <f t="shared" si="42"/>
        <v>0</v>
      </c>
      <c r="AG330" t="s">
        <v>37</v>
      </c>
      <c r="AH330" t="s">
        <v>231</v>
      </c>
      <c r="BF330" t="s">
        <v>231</v>
      </c>
      <c r="BG330" t="s">
        <v>37</v>
      </c>
      <c r="BH330">
        <v>1</v>
      </c>
      <c r="BI330" t="s">
        <v>499</v>
      </c>
      <c r="CG330" t="s">
        <v>21</v>
      </c>
      <c r="CH330" t="s">
        <v>196</v>
      </c>
      <c r="CI330">
        <v>70032</v>
      </c>
      <c r="CJ330" t="s">
        <v>499</v>
      </c>
    </row>
    <row r="331" spans="1:88" x14ac:dyDescent="0.25">
      <c r="A331" t="s">
        <v>5</v>
      </c>
      <c r="B331" t="s">
        <v>253</v>
      </c>
      <c r="C331" t="s">
        <v>252</v>
      </c>
      <c r="D331">
        <v>81083</v>
      </c>
      <c r="E331">
        <v>6</v>
      </c>
      <c r="F331" s="24" t="str">
        <f t="shared" si="43"/>
        <v>2023-12</v>
      </c>
      <c r="O331" t="s">
        <v>37</v>
      </c>
      <c r="P331" t="s">
        <v>263</v>
      </c>
      <c r="Q331">
        <v>9</v>
      </c>
      <c r="AA331">
        <v>81083</v>
      </c>
      <c r="AB331" t="s">
        <v>253</v>
      </c>
      <c r="AD331">
        <f t="shared" si="41"/>
        <v>0</v>
      </c>
      <c r="AE331">
        <f t="shared" si="42"/>
        <v>0</v>
      </c>
      <c r="AG331" t="s">
        <v>37</v>
      </c>
      <c r="AH331" t="s">
        <v>263</v>
      </c>
      <c r="BF331" t="s">
        <v>263</v>
      </c>
      <c r="BG331" t="s">
        <v>37</v>
      </c>
      <c r="BH331">
        <v>9</v>
      </c>
      <c r="BI331" t="s">
        <v>499</v>
      </c>
      <c r="CG331" t="s">
        <v>5</v>
      </c>
      <c r="CH331" t="s">
        <v>253</v>
      </c>
      <c r="CI331">
        <v>81083</v>
      </c>
      <c r="CJ331" t="s">
        <v>499</v>
      </c>
    </row>
    <row r="332" spans="1:88" x14ac:dyDescent="0.25">
      <c r="A332" t="s">
        <v>21</v>
      </c>
      <c r="B332" t="s">
        <v>88</v>
      </c>
      <c r="C332" t="s">
        <v>252</v>
      </c>
      <c r="D332">
        <v>19620</v>
      </c>
      <c r="E332">
        <v>8</v>
      </c>
      <c r="F332" s="24" t="str">
        <f t="shared" si="43"/>
        <v>2023-12</v>
      </c>
      <c r="O332" t="s">
        <v>35</v>
      </c>
      <c r="P332" t="s">
        <v>12</v>
      </c>
      <c r="Q332">
        <v>6</v>
      </c>
      <c r="AA332">
        <v>19620</v>
      </c>
      <c r="AB332" t="s">
        <v>88</v>
      </c>
      <c r="AD332">
        <f t="shared" si="41"/>
        <v>0</v>
      </c>
      <c r="AE332">
        <f t="shared" si="42"/>
        <v>0</v>
      </c>
      <c r="AG332" t="s">
        <v>35</v>
      </c>
      <c r="AH332" t="s">
        <v>12</v>
      </c>
      <c r="BF332" t="s">
        <v>12</v>
      </c>
      <c r="BG332" t="s">
        <v>35</v>
      </c>
      <c r="BH332">
        <v>6</v>
      </c>
      <c r="BI332" t="s">
        <v>499</v>
      </c>
      <c r="CG332" t="s">
        <v>21</v>
      </c>
      <c r="CH332" t="s">
        <v>88</v>
      </c>
      <c r="CI332">
        <v>19620</v>
      </c>
      <c r="CJ332" t="s">
        <v>499</v>
      </c>
    </row>
    <row r="333" spans="1:88" x14ac:dyDescent="0.25">
      <c r="A333" t="s">
        <v>75</v>
      </c>
      <c r="B333" t="s">
        <v>71</v>
      </c>
      <c r="C333" t="s">
        <v>252</v>
      </c>
      <c r="D333">
        <v>36961</v>
      </c>
      <c r="E333">
        <v>3</v>
      </c>
      <c r="F333" s="24" t="str">
        <f t="shared" si="43"/>
        <v>2023-12</v>
      </c>
      <c r="O333" t="s">
        <v>16</v>
      </c>
      <c r="P333" t="s">
        <v>163</v>
      </c>
      <c r="Q333">
        <v>7</v>
      </c>
      <c r="AA333">
        <v>36961</v>
      </c>
      <c r="AB333" t="s">
        <v>71</v>
      </c>
      <c r="AD333">
        <f t="shared" si="41"/>
        <v>0</v>
      </c>
      <c r="AE333">
        <f t="shared" si="42"/>
        <v>0</v>
      </c>
      <c r="AG333" t="s">
        <v>16</v>
      </c>
      <c r="AH333" t="s">
        <v>163</v>
      </c>
      <c r="BF333" t="s">
        <v>163</v>
      </c>
      <c r="BG333" t="s">
        <v>16</v>
      </c>
      <c r="BH333">
        <v>7</v>
      </c>
      <c r="BI333" t="s">
        <v>499</v>
      </c>
      <c r="CG333" t="s">
        <v>75</v>
      </c>
      <c r="CH333" t="s">
        <v>71</v>
      </c>
      <c r="CI333">
        <v>36961</v>
      </c>
      <c r="CJ333" t="s">
        <v>499</v>
      </c>
    </row>
    <row r="334" spans="1:88" x14ac:dyDescent="0.25">
      <c r="A334" t="s">
        <v>16</v>
      </c>
      <c r="B334" t="s">
        <v>20</v>
      </c>
      <c r="C334" t="s">
        <v>254</v>
      </c>
      <c r="D334">
        <v>63072</v>
      </c>
      <c r="E334">
        <v>9</v>
      </c>
      <c r="F334" s="24" t="str">
        <f t="shared" si="43"/>
        <v>2023-12</v>
      </c>
      <c r="O334" t="s">
        <v>16</v>
      </c>
      <c r="P334" t="s">
        <v>100</v>
      </c>
      <c r="Q334">
        <v>3</v>
      </c>
      <c r="AA334">
        <v>63072</v>
      </c>
      <c r="AB334" t="s">
        <v>20</v>
      </c>
      <c r="AD334">
        <f t="shared" si="41"/>
        <v>0</v>
      </c>
      <c r="AE334">
        <f t="shared" si="42"/>
        <v>0</v>
      </c>
      <c r="AG334" t="s">
        <v>16</v>
      </c>
      <c r="AH334" t="s">
        <v>100</v>
      </c>
      <c r="BF334" t="s">
        <v>100</v>
      </c>
      <c r="BG334" t="s">
        <v>16</v>
      </c>
      <c r="BH334">
        <v>3</v>
      </c>
      <c r="BI334" t="s">
        <v>499</v>
      </c>
      <c r="CG334" t="s">
        <v>16</v>
      </c>
      <c r="CH334" t="s">
        <v>20</v>
      </c>
      <c r="CI334">
        <v>63072</v>
      </c>
      <c r="CJ334" t="s">
        <v>499</v>
      </c>
    </row>
    <row r="335" spans="1:88" x14ac:dyDescent="0.25">
      <c r="A335" t="s">
        <v>75</v>
      </c>
      <c r="B335" t="s">
        <v>255</v>
      </c>
      <c r="C335" t="s">
        <v>256</v>
      </c>
      <c r="D335">
        <v>64616</v>
      </c>
      <c r="E335">
        <v>8</v>
      </c>
      <c r="F335" s="24" t="str">
        <f t="shared" si="43"/>
        <v>2023-12</v>
      </c>
      <c r="O335" t="s">
        <v>37</v>
      </c>
      <c r="P335" t="s">
        <v>119</v>
      </c>
      <c r="Q335">
        <v>8</v>
      </c>
      <c r="AA335">
        <v>64616</v>
      </c>
      <c r="AB335" t="s">
        <v>255</v>
      </c>
      <c r="AD335">
        <f t="shared" si="41"/>
        <v>0</v>
      </c>
      <c r="AE335">
        <f t="shared" si="42"/>
        <v>0</v>
      </c>
      <c r="AG335" t="s">
        <v>37</v>
      </c>
      <c r="AH335" t="s">
        <v>119</v>
      </c>
      <c r="BF335" t="s">
        <v>119</v>
      </c>
      <c r="BG335" t="s">
        <v>37</v>
      </c>
      <c r="BH335">
        <v>8</v>
      </c>
      <c r="BI335" t="s">
        <v>499</v>
      </c>
      <c r="CG335" t="s">
        <v>75</v>
      </c>
      <c r="CH335" t="s">
        <v>255</v>
      </c>
      <c r="CI335">
        <v>64616</v>
      </c>
      <c r="CJ335" t="s">
        <v>499</v>
      </c>
    </row>
    <row r="336" spans="1:88" x14ac:dyDescent="0.25">
      <c r="A336" t="s">
        <v>55</v>
      </c>
      <c r="B336" t="s">
        <v>20</v>
      </c>
      <c r="C336" t="s">
        <v>256</v>
      </c>
      <c r="D336">
        <v>47901</v>
      </c>
      <c r="E336">
        <v>9</v>
      </c>
      <c r="F336" s="24" t="str">
        <f t="shared" si="43"/>
        <v>2023-12</v>
      </c>
      <c r="O336" t="s">
        <v>29</v>
      </c>
      <c r="P336" t="s">
        <v>106</v>
      </c>
      <c r="Q336">
        <v>6</v>
      </c>
      <c r="AA336">
        <v>47901</v>
      </c>
      <c r="AB336" t="s">
        <v>20</v>
      </c>
      <c r="AD336">
        <f t="shared" si="41"/>
        <v>0</v>
      </c>
      <c r="AE336">
        <f t="shared" si="42"/>
        <v>0</v>
      </c>
      <c r="AG336" t="s">
        <v>29</v>
      </c>
      <c r="AH336" t="s">
        <v>106</v>
      </c>
      <c r="BF336" t="s">
        <v>106</v>
      </c>
      <c r="BG336" t="s">
        <v>29</v>
      </c>
      <c r="BH336">
        <v>6</v>
      </c>
      <c r="BI336" t="s">
        <v>499</v>
      </c>
      <c r="CG336" t="s">
        <v>55</v>
      </c>
      <c r="CH336" t="s">
        <v>20</v>
      </c>
      <c r="CI336">
        <v>47901</v>
      </c>
      <c r="CJ336" t="s">
        <v>499</v>
      </c>
    </row>
    <row r="337" spans="1:88" x14ac:dyDescent="0.25">
      <c r="A337" t="s">
        <v>53</v>
      </c>
      <c r="B337" t="s">
        <v>20</v>
      </c>
      <c r="C337" t="s">
        <v>256</v>
      </c>
      <c r="D337">
        <v>37235</v>
      </c>
      <c r="E337">
        <v>8</v>
      </c>
      <c r="F337" s="24" t="str">
        <f t="shared" si="43"/>
        <v>2023-12</v>
      </c>
      <c r="O337" t="s">
        <v>21</v>
      </c>
      <c r="P337" t="s">
        <v>98</v>
      </c>
      <c r="Q337">
        <v>7</v>
      </c>
      <c r="AA337">
        <v>37235</v>
      </c>
      <c r="AB337" t="s">
        <v>20</v>
      </c>
      <c r="AD337">
        <f t="shared" si="41"/>
        <v>0</v>
      </c>
      <c r="AE337">
        <f t="shared" si="42"/>
        <v>0</v>
      </c>
      <c r="AG337" t="s">
        <v>21</v>
      </c>
      <c r="AH337" t="s">
        <v>98</v>
      </c>
      <c r="BF337" t="s">
        <v>98</v>
      </c>
      <c r="BG337" t="s">
        <v>21</v>
      </c>
      <c r="BH337">
        <v>7</v>
      </c>
      <c r="BI337" t="s">
        <v>499</v>
      </c>
      <c r="CG337" t="s">
        <v>53</v>
      </c>
      <c r="CH337" t="s">
        <v>20</v>
      </c>
      <c r="CI337">
        <v>37235</v>
      </c>
      <c r="CJ337" t="s">
        <v>499</v>
      </c>
    </row>
    <row r="338" spans="1:88" x14ac:dyDescent="0.25">
      <c r="A338" t="s">
        <v>53</v>
      </c>
      <c r="B338" t="s">
        <v>56</v>
      </c>
      <c r="C338" t="s">
        <v>256</v>
      </c>
      <c r="D338">
        <v>27302</v>
      </c>
      <c r="E338">
        <v>4</v>
      </c>
      <c r="F338" s="24" t="str">
        <f t="shared" si="43"/>
        <v>2023-12</v>
      </c>
      <c r="O338" t="s">
        <v>29</v>
      </c>
      <c r="P338" t="s">
        <v>88</v>
      </c>
      <c r="Q338">
        <v>7</v>
      </c>
      <c r="AA338">
        <v>27302</v>
      </c>
      <c r="AB338" t="s">
        <v>56</v>
      </c>
      <c r="AD338">
        <f t="shared" si="41"/>
        <v>0</v>
      </c>
      <c r="AE338">
        <f t="shared" si="42"/>
        <v>0</v>
      </c>
      <c r="AG338" t="s">
        <v>29</v>
      </c>
      <c r="AH338" t="s">
        <v>88</v>
      </c>
      <c r="BF338" t="s">
        <v>88</v>
      </c>
      <c r="BG338" t="s">
        <v>29</v>
      </c>
      <c r="BH338">
        <v>7</v>
      </c>
      <c r="BI338" t="s">
        <v>499</v>
      </c>
      <c r="CG338" t="s">
        <v>53</v>
      </c>
      <c r="CH338" t="s">
        <v>56</v>
      </c>
      <c r="CI338">
        <v>27302</v>
      </c>
      <c r="CJ338" t="s">
        <v>499</v>
      </c>
    </row>
    <row r="339" spans="1:88" x14ac:dyDescent="0.25">
      <c r="A339" t="s">
        <v>10</v>
      </c>
      <c r="B339" t="s">
        <v>237</v>
      </c>
      <c r="C339" t="s">
        <v>257</v>
      </c>
      <c r="D339">
        <v>38934</v>
      </c>
      <c r="E339">
        <v>4</v>
      </c>
      <c r="F339" s="24" t="str">
        <f t="shared" si="43"/>
        <v>2023-12</v>
      </c>
      <c r="O339" t="s">
        <v>35</v>
      </c>
      <c r="P339" t="s">
        <v>50</v>
      </c>
      <c r="Q339">
        <v>3</v>
      </c>
      <c r="AA339">
        <v>38934</v>
      </c>
      <c r="AB339" t="s">
        <v>237</v>
      </c>
      <c r="AD339">
        <f t="shared" si="41"/>
        <v>0</v>
      </c>
      <c r="AE339">
        <f t="shared" si="42"/>
        <v>0</v>
      </c>
      <c r="AG339" t="s">
        <v>35</v>
      </c>
      <c r="AH339" t="s">
        <v>50</v>
      </c>
      <c r="BF339" t="s">
        <v>50</v>
      </c>
      <c r="BG339" t="s">
        <v>35</v>
      </c>
      <c r="BH339">
        <v>3</v>
      </c>
      <c r="BI339" t="s">
        <v>500</v>
      </c>
      <c r="CG339" t="s">
        <v>10</v>
      </c>
      <c r="CH339" t="s">
        <v>237</v>
      </c>
      <c r="CI339">
        <v>38934</v>
      </c>
      <c r="CJ339" t="s">
        <v>499</v>
      </c>
    </row>
    <row r="340" spans="1:88" x14ac:dyDescent="0.25">
      <c r="A340" t="s">
        <v>10</v>
      </c>
      <c r="B340" t="s">
        <v>65</v>
      </c>
      <c r="C340" t="s">
        <v>257</v>
      </c>
      <c r="D340">
        <v>89593</v>
      </c>
      <c r="E340">
        <v>3</v>
      </c>
      <c r="F340" s="24" t="str">
        <f t="shared" si="43"/>
        <v>2023-12</v>
      </c>
      <c r="O340" t="s">
        <v>5</v>
      </c>
      <c r="P340" t="s">
        <v>100</v>
      </c>
      <c r="Q340">
        <v>5</v>
      </c>
      <c r="AA340">
        <v>89593</v>
      </c>
      <c r="AB340" t="s">
        <v>65</v>
      </c>
      <c r="AD340">
        <f t="shared" si="41"/>
        <v>0</v>
      </c>
      <c r="AE340">
        <f t="shared" si="42"/>
        <v>0</v>
      </c>
      <c r="AG340" t="s">
        <v>5</v>
      </c>
      <c r="AH340" t="s">
        <v>100</v>
      </c>
      <c r="BF340" t="s">
        <v>100</v>
      </c>
      <c r="BG340" t="s">
        <v>5</v>
      </c>
      <c r="BH340">
        <v>5</v>
      </c>
      <c r="BI340" t="s">
        <v>500</v>
      </c>
      <c r="CG340" t="s">
        <v>10</v>
      </c>
      <c r="CH340" t="s">
        <v>65</v>
      </c>
      <c r="CI340">
        <v>89593</v>
      </c>
      <c r="CJ340" t="s">
        <v>499</v>
      </c>
    </row>
    <row r="341" spans="1:88" x14ac:dyDescent="0.25">
      <c r="A341" t="s">
        <v>10</v>
      </c>
      <c r="B341" t="s">
        <v>258</v>
      </c>
      <c r="C341" t="s">
        <v>257</v>
      </c>
      <c r="D341">
        <v>66957</v>
      </c>
      <c r="E341">
        <v>9</v>
      </c>
      <c r="F341" s="24" t="str">
        <f t="shared" si="43"/>
        <v>2023-12</v>
      </c>
      <c r="O341" t="s">
        <v>5</v>
      </c>
      <c r="P341" t="s">
        <v>138</v>
      </c>
      <c r="Q341">
        <v>3</v>
      </c>
      <c r="AA341">
        <v>66957</v>
      </c>
      <c r="AB341" t="s">
        <v>258</v>
      </c>
      <c r="AD341">
        <f t="shared" si="41"/>
        <v>0</v>
      </c>
      <c r="AE341">
        <f t="shared" si="42"/>
        <v>0</v>
      </c>
      <c r="AG341" t="s">
        <v>5</v>
      </c>
      <c r="AH341" t="s">
        <v>138</v>
      </c>
      <c r="BF341" t="s">
        <v>138</v>
      </c>
      <c r="BG341" t="s">
        <v>5</v>
      </c>
      <c r="BH341">
        <v>3</v>
      </c>
      <c r="BI341" t="s">
        <v>500</v>
      </c>
      <c r="CG341" t="s">
        <v>10</v>
      </c>
      <c r="CH341" t="s">
        <v>258</v>
      </c>
      <c r="CI341">
        <v>66957</v>
      </c>
      <c r="CJ341" t="s">
        <v>499</v>
      </c>
    </row>
    <row r="342" spans="1:88" x14ac:dyDescent="0.25">
      <c r="A342" t="s">
        <v>14</v>
      </c>
      <c r="B342" t="s">
        <v>125</v>
      </c>
      <c r="C342" t="s">
        <v>257</v>
      </c>
      <c r="D342">
        <v>37716</v>
      </c>
      <c r="E342">
        <v>7</v>
      </c>
      <c r="F342" s="24" t="str">
        <f t="shared" si="43"/>
        <v>2023-12</v>
      </c>
      <c r="O342" t="s">
        <v>53</v>
      </c>
      <c r="P342" t="s">
        <v>160</v>
      </c>
      <c r="Q342">
        <v>7</v>
      </c>
      <c r="AA342">
        <v>37716</v>
      </c>
      <c r="AB342" t="s">
        <v>125</v>
      </c>
      <c r="AD342">
        <f t="shared" si="41"/>
        <v>0</v>
      </c>
      <c r="AE342">
        <f t="shared" si="42"/>
        <v>0</v>
      </c>
      <c r="AG342" t="s">
        <v>53</v>
      </c>
      <c r="AH342" t="s">
        <v>160</v>
      </c>
      <c r="BF342" t="s">
        <v>160</v>
      </c>
      <c r="BG342" t="s">
        <v>53</v>
      </c>
      <c r="BH342">
        <v>7</v>
      </c>
      <c r="BI342" t="s">
        <v>500</v>
      </c>
      <c r="CG342" t="s">
        <v>14</v>
      </c>
      <c r="CH342" t="s">
        <v>125</v>
      </c>
      <c r="CI342">
        <v>37716</v>
      </c>
      <c r="CJ342" t="s">
        <v>499</v>
      </c>
    </row>
    <row r="343" spans="1:88" x14ac:dyDescent="0.25">
      <c r="A343" t="s">
        <v>5</v>
      </c>
      <c r="B343" t="s">
        <v>170</v>
      </c>
      <c r="C343" t="s">
        <v>257</v>
      </c>
      <c r="D343">
        <v>65337</v>
      </c>
      <c r="E343">
        <v>10</v>
      </c>
      <c r="F343" s="24" t="str">
        <f t="shared" si="43"/>
        <v>2023-12</v>
      </c>
      <c r="O343" t="s">
        <v>16</v>
      </c>
      <c r="P343" t="s">
        <v>122</v>
      </c>
      <c r="Q343">
        <v>8</v>
      </c>
      <c r="AA343">
        <v>65337</v>
      </c>
      <c r="AB343" t="s">
        <v>170</v>
      </c>
      <c r="AD343">
        <f t="shared" si="41"/>
        <v>0</v>
      </c>
      <c r="AE343">
        <f t="shared" si="42"/>
        <v>0</v>
      </c>
      <c r="AG343" t="s">
        <v>16</v>
      </c>
      <c r="AH343" t="s">
        <v>122</v>
      </c>
      <c r="BF343" t="s">
        <v>122</v>
      </c>
      <c r="BG343" t="s">
        <v>16</v>
      </c>
      <c r="BH343">
        <v>8</v>
      </c>
      <c r="BI343" t="s">
        <v>500</v>
      </c>
      <c r="CG343" t="s">
        <v>5</v>
      </c>
      <c r="CH343" t="s">
        <v>170</v>
      </c>
      <c r="CI343">
        <v>65337</v>
      </c>
      <c r="CJ343" t="s">
        <v>499</v>
      </c>
    </row>
    <row r="344" spans="1:88" x14ac:dyDescent="0.25">
      <c r="A344" t="s">
        <v>75</v>
      </c>
      <c r="B344" t="s">
        <v>155</v>
      </c>
      <c r="C344" t="s">
        <v>257</v>
      </c>
      <c r="D344">
        <v>12387</v>
      </c>
      <c r="E344">
        <v>7</v>
      </c>
      <c r="F344" s="24" t="str">
        <f t="shared" si="43"/>
        <v>2023-12</v>
      </c>
      <c r="O344" t="s">
        <v>8</v>
      </c>
      <c r="P344" t="s">
        <v>58</v>
      </c>
      <c r="Q344">
        <v>7</v>
      </c>
      <c r="AA344">
        <v>12387</v>
      </c>
      <c r="AB344" t="s">
        <v>155</v>
      </c>
      <c r="AD344">
        <f t="shared" si="41"/>
        <v>0</v>
      </c>
      <c r="AE344">
        <f t="shared" si="42"/>
        <v>0</v>
      </c>
      <c r="AG344" t="s">
        <v>8</v>
      </c>
      <c r="AH344" t="s">
        <v>58</v>
      </c>
      <c r="BF344" t="s">
        <v>58</v>
      </c>
      <c r="BG344" t="s">
        <v>8</v>
      </c>
      <c r="BH344">
        <v>7</v>
      </c>
      <c r="BI344" t="s">
        <v>500</v>
      </c>
      <c r="CG344" t="s">
        <v>75</v>
      </c>
      <c r="CH344" t="s">
        <v>155</v>
      </c>
      <c r="CI344">
        <v>12387</v>
      </c>
      <c r="CJ344" t="s">
        <v>499</v>
      </c>
    </row>
    <row r="345" spans="1:88" x14ac:dyDescent="0.25">
      <c r="A345" t="s">
        <v>21</v>
      </c>
      <c r="B345" t="s">
        <v>156</v>
      </c>
      <c r="C345" t="s">
        <v>257</v>
      </c>
      <c r="D345">
        <v>68816</v>
      </c>
      <c r="E345">
        <v>6</v>
      </c>
      <c r="F345" s="24" t="str">
        <f t="shared" si="43"/>
        <v>2023-12</v>
      </c>
      <c r="O345" t="s">
        <v>5</v>
      </c>
      <c r="P345" t="s">
        <v>231</v>
      </c>
      <c r="Q345">
        <v>9</v>
      </c>
      <c r="AA345">
        <v>68816</v>
      </c>
      <c r="AB345" t="s">
        <v>156</v>
      </c>
      <c r="AD345">
        <f t="shared" si="41"/>
        <v>0</v>
      </c>
      <c r="AE345">
        <f t="shared" si="42"/>
        <v>0</v>
      </c>
      <c r="AG345" t="s">
        <v>5</v>
      </c>
      <c r="AH345" t="s">
        <v>231</v>
      </c>
      <c r="BF345" t="s">
        <v>231</v>
      </c>
      <c r="BG345" t="s">
        <v>5</v>
      </c>
      <c r="BH345">
        <v>9</v>
      </c>
      <c r="BI345" t="s">
        <v>500</v>
      </c>
      <c r="CG345" t="s">
        <v>21</v>
      </c>
      <c r="CH345" t="s">
        <v>156</v>
      </c>
      <c r="CI345">
        <v>68816</v>
      </c>
      <c r="CJ345" t="s">
        <v>499</v>
      </c>
    </row>
    <row r="346" spans="1:88" x14ac:dyDescent="0.25">
      <c r="A346" t="s">
        <v>14</v>
      </c>
      <c r="B346" t="s">
        <v>220</v>
      </c>
      <c r="C346" t="s">
        <v>257</v>
      </c>
      <c r="D346">
        <v>16974</v>
      </c>
      <c r="E346">
        <v>8</v>
      </c>
      <c r="F346" s="24" t="str">
        <f t="shared" si="43"/>
        <v>2023-12</v>
      </c>
      <c r="O346" t="s">
        <v>37</v>
      </c>
      <c r="P346" t="s">
        <v>266</v>
      </c>
      <c r="Q346">
        <v>9</v>
      </c>
      <c r="AA346">
        <v>16974</v>
      </c>
      <c r="AB346" t="s">
        <v>220</v>
      </c>
      <c r="AD346">
        <f t="shared" si="41"/>
        <v>0</v>
      </c>
      <c r="AE346">
        <f t="shared" si="42"/>
        <v>0</v>
      </c>
      <c r="AG346" t="s">
        <v>37</v>
      </c>
      <c r="AH346" t="s">
        <v>266</v>
      </c>
      <c r="BF346" t="s">
        <v>266</v>
      </c>
      <c r="BG346" t="s">
        <v>37</v>
      </c>
      <c r="BH346">
        <v>9</v>
      </c>
      <c r="BI346" t="s">
        <v>500</v>
      </c>
      <c r="CG346" t="s">
        <v>14</v>
      </c>
      <c r="CH346" t="s">
        <v>220</v>
      </c>
      <c r="CI346">
        <v>16974</v>
      </c>
      <c r="CJ346" t="s">
        <v>499</v>
      </c>
    </row>
    <row r="347" spans="1:88" x14ac:dyDescent="0.25">
      <c r="A347" t="s">
        <v>5</v>
      </c>
      <c r="B347" t="s">
        <v>197</v>
      </c>
      <c r="C347" t="s">
        <v>257</v>
      </c>
      <c r="D347">
        <v>33845</v>
      </c>
      <c r="E347">
        <v>7</v>
      </c>
      <c r="F347" s="24" t="str">
        <f t="shared" si="43"/>
        <v>2023-12</v>
      </c>
      <c r="O347" t="s">
        <v>37</v>
      </c>
      <c r="P347" t="s">
        <v>49</v>
      </c>
      <c r="Q347">
        <v>8</v>
      </c>
      <c r="AA347">
        <v>33845</v>
      </c>
      <c r="AB347" t="s">
        <v>197</v>
      </c>
      <c r="AD347">
        <f t="shared" si="41"/>
        <v>0</v>
      </c>
      <c r="AE347">
        <f t="shared" si="42"/>
        <v>0</v>
      </c>
      <c r="AG347" t="s">
        <v>37</v>
      </c>
      <c r="AH347" t="s">
        <v>49</v>
      </c>
      <c r="BF347" t="s">
        <v>49</v>
      </c>
      <c r="BG347" t="s">
        <v>37</v>
      </c>
      <c r="BH347">
        <v>8</v>
      </c>
      <c r="BI347" t="s">
        <v>500</v>
      </c>
      <c r="CG347" t="s">
        <v>5</v>
      </c>
      <c r="CH347" t="s">
        <v>197</v>
      </c>
      <c r="CI347">
        <v>33845</v>
      </c>
      <c r="CJ347" t="s">
        <v>499</v>
      </c>
    </row>
    <row r="348" spans="1:88" x14ac:dyDescent="0.25">
      <c r="A348" t="s">
        <v>37</v>
      </c>
      <c r="B348" t="s">
        <v>213</v>
      </c>
      <c r="C348" t="s">
        <v>259</v>
      </c>
      <c r="D348">
        <v>15406</v>
      </c>
      <c r="E348">
        <v>7</v>
      </c>
      <c r="F348" s="24" t="str">
        <f t="shared" si="43"/>
        <v>2023-12</v>
      </c>
      <c r="O348" t="s">
        <v>21</v>
      </c>
      <c r="P348" t="s">
        <v>268</v>
      </c>
      <c r="Q348">
        <v>10</v>
      </c>
      <c r="AA348">
        <v>15406</v>
      </c>
      <c r="AB348" t="s">
        <v>213</v>
      </c>
      <c r="AD348">
        <f t="shared" si="41"/>
        <v>0</v>
      </c>
      <c r="AE348">
        <f t="shared" si="42"/>
        <v>0</v>
      </c>
      <c r="AG348" t="s">
        <v>21</v>
      </c>
      <c r="AH348" t="s">
        <v>268</v>
      </c>
      <c r="BF348" t="s">
        <v>268</v>
      </c>
      <c r="BG348" t="s">
        <v>21</v>
      </c>
      <c r="BH348">
        <v>10</v>
      </c>
      <c r="BI348" t="s">
        <v>500</v>
      </c>
      <c r="CG348" t="s">
        <v>37</v>
      </c>
      <c r="CH348" t="s">
        <v>213</v>
      </c>
      <c r="CI348">
        <v>15406</v>
      </c>
      <c r="CJ348" t="s">
        <v>499</v>
      </c>
    </row>
    <row r="349" spans="1:88" x14ac:dyDescent="0.25">
      <c r="A349" t="s">
        <v>53</v>
      </c>
      <c r="B349" t="s">
        <v>88</v>
      </c>
      <c r="C349" t="s">
        <v>259</v>
      </c>
      <c r="D349">
        <v>60371</v>
      </c>
      <c r="E349">
        <v>6</v>
      </c>
      <c r="F349" s="24" t="str">
        <f t="shared" si="43"/>
        <v>2023-12</v>
      </c>
      <c r="O349" t="s">
        <v>35</v>
      </c>
      <c r="P349" t="s">
        <v>172</v>
      </c>
      <c r="Q349">
        <v>7</v>
      </c>
      <c r="AA349">
        <v>60371</v>
      </c>
      <c r="AB349" t="s">
        <v>88</v>
      </c>
      <c r="AD349">
        <f t="shared" si="41"/>
        <v>0</v>
      </c>
      <c r="AE349">
        <f t="shared" si="42"/>
        <v>0</v>
      </c>
      <c r="AG349" t="s">
        <v>35</v>
      </c>
      <c r="AH349" t="s">
        <v>172</v>
      </c>
      <c r="BF349" t="s">
        <v>172</v>
      </c>
      <c r="BG349" t="s">
        <v>35</v>
      </c>
      <c r="BH349">
        <v>7</v>
      </c>
      <c r="BI349" t="s">
        <v>500</v>
      </c>
      <c r="CG349" t="s">
        <v>53</v>
      </c>
      <c r="CH349" t="s">
        <v>88</v>
      </c>
      <c r="CI349">
        <v>60371</v>
      </c>
      <c r="CJ349" t="s">
        <v>499</v>
      </c>
    </row>
    <row r="350" spans="1:88" x14ac:dyDescent="0.25">
      <c r="A350" t="s">
        <v>16</v>
      </c>
      <c r="B350" t="s">
        <v>68</v>
      </c>
      <c r="C350" t="s">
        <v>259</v>
      </c>
      <c r="D350">
        <v>35319</v>
      </c>
      <c r="E350">
        <v>2</v>
      </c>
      <c r="F350" s="24" t="str">
        <f t="shared" si="43"/>
        <v>2023-12</v>
      </c>
      <c r="O350" t="s">
        <v>16</v>
      </c>
      <c r="P350" t="s">
        <v>24</v>
      </c>
      <c r="Q350">
        <v>8</v>
      </c>
      <c r="AA350">
        <v>35319</v>
      </c>
      <c r="AB350" t="s">
        <v>68</v>
      </c>
      <c r="AD350">
        <f t="shared" si="41"/>
        <v>0</v>
      </c>
      <c r="AE350">
        <f t="shared" si="42"/>
        <v>0</v>
      </c>
      <c r="AG350" t="s">
        <v>16</v>
      </c>
      <c r="AH350" t="s">
        <v>24</v>
      </c>
      <c r="BF350" t="s">
        <v>24</v>
      </c>
      <c r="BG350" t="s">
        <v>16</v>
      </c>
      <c r="BH350">
        <v>8</v>
      </c>
      <c r="BI350" t="s">
        <v>500</v>
      </c>
      <c r="CG350" t="s">
        <v>16</v>
      </c>
      <c r="CH350" t="s">
        <v>68</v>
      </c>
      <c r="CI350">
        <v>35319</v>
      </c>
      <c r="CJ350" t="s">
        <v>499</v>
      </c>
    </row>
    <row r="351" spans="1:88" x14ac:dyDescent="0.25">
      <c r="A351" t="s">
        <v>21</v>
      </c>
      <c r="B351" t="s">
        <v>39</v>
      </c>
      <c r="C351" t="s">
        <v>259</v>
      </c>
      <c r="D351">
        <v>67575</v>
      </c>
      <c r="E351">
        <v>1</v>
      </c>
      <c r="F351" s="24" t="str">
        <f t="shared" si="43"/>
        <v>2023-12</v>
      </c>
      <c r="O351" t="s">
        <v>29</v>
      </c>
      <c r="P351" t="s">
        <v>100</v>
      </c>
      <c r="Q351">
        <v>7</v>
      </c>
      <c r="AA351">
        <v>67575</v>
      </c>
      <c r="AB351" t="s">
        <v>39</v>
      </c>
      <c r="AD351">
        <f t="shared" si="41"/>
        <v>0</v>
      </c>
      <c r="AE351">
        <f t="shared" si="42"/>
        <v>0</v>
      </c>
      <c r="AG351" t="s">
        <v>29</v>
      </c>
      <c r="AH351" t="s">
        <v>100</v>
      </c>
      <c r="BF351" t="s">
        <v>100</v>
      </c>
      <c r="BG351" t="s">
        <v>29</v>
      </c>
      <c r="BH351">
        <v>7</v>
      </c>
      <c r="BI351" t="s">
        <v>500</v>
      </c>
      <c r="CG351" t="s">
        <v>21</v>
      </c>
      <c r="CH351" t="s">
        <v>39</v>
      </c>
      <c r="CI351">
        <v>67575</v>
      </c>
      <c r="CJ351" t="s">
        <v>499</v>
      </c>
    </row>
    <row r="352" spans="1:88" x14ac:dyDescent="0.25">
      <c r="A352" t="s">
        <v>55</v>
      </c>
      <c r="B352" t="s">
        <v>18</v>
      </c>
      <c r="C352" t="s">
        <v>259</v>
      </c>
      <c r="D352">
        <v>76044</v>
      </c>
      <c r="E352">
        <v>7</v>
      </c>
      <c r="F352" s="24" t="str">
        <f t="shared" si="43"/>
        <v>2023-12</v>
      </c>
      <c r="O352" t="s">
        <v>55</v>
      </c>
      <c r="P352" t="s">
        <v>200</v>
      </c>
      <c r="Q352">
        <v>7</v>
      </c>
      <c r="AA352">
        <v>76044</v>
      </c>
      <c r="AB352" t="s">
        <v>18</v>
      </c>
      <c r="AD352">
        <f t="shared" si="41"/>
        <v>0</v>
      </c>
      <c r="AE352">
        <f t="shared" si="42"/>
        <v>0</v>
      </c>
      <c r="AG352" t="s">
        <v>55</v>
      </c>
      <c r="AH352" t="s">
        <v>200</v>
      </c>
      <c r="BF352" t="s">
        <v>200</v>
      </c>
      <c r="BG352" t="s">
        <v>55</v>
      </c>
      <c r="BH352">
        <v>7</v>
      </c>
      <c r="BI352" t="s">
        <v>500</v>
      </c>
      <c r="CG352" t="s">
        <v>55</v>
      </c>
      <c r="CH352" t="s">
        <v>18</v>
      </c>
      <c r="CI352">
        <v>76044</v>
      </c>
      <c r="CJ352" t="s">
        <v>499</v>
      </c>
    </row>
    <row r="353" spans="1:88" x14ac:dyDescent="0.25">
      <c r="A353" t="s">
        <v>53</v>
      </c>
      <c r="B353" t="s">
        <v>255</v>
      </c>
      <c r="C353" t="s">
        <v>260</v>
      </c>
      <c r="D353">
        <v>84599</v>
      </c>
      <c r="E353">
        <v>4</v>
      </c>
      <c r="F353" s="24" t="str">
        <f t="shared" si="43"/>
        <v>2023-12</v>
      </c>
      <c r="O353" t="s">
        <v>5</v>
      </c>
      <c r="P353" t="s">
        <v>98</v>
      </c>
      <c r="Q353">
        <v>2</v>
      </c>
      <c r="AA353">
        <v>84599</v>
      </c>
      <c r="AB353" t="s">
        <v>255</v>
      </c>
      <c r="AD353">
        <f t="shared" si="41"/>
        <v>0</v>
      </c>
      <c r="AE353">
        <f t="shared" si="42"/>
        <v>0</v>
      </c>
      <c r="AG353" t="s">
        <v>5</v>
      </c>
      <c r="AH353" t="s">
        <v>98</v>
      </c>
      <c r="BF353" t="s">
        <v>98</v>
      </c>
      <c r="BG353" t="s">
        <v>5</v>
      </c>
      <c r="BH353">
        <v>2</v>
      </c>
      <c r="BI353" t="s">
        <v>500</v>
      </c>
      <c r="CG353" t="s">
        <v>53</v>
      </c>
      <c r="CH353" t="s">
        <v>255</v>
      </c>
      <c r="CI353">
        <v>84599</v>
      </c>
      <c r="CJ353" t="s">
        <v>499</v>
      </c>
    </row>
    <row r="354" spans="1:88" x14ac:dyDescent="0.25">
      <c r="A354" t="s">
        <v>55</v>
      </c>
      <c r="B354" t="s">
        <v>261</v>
      </c>
      <c r="C354" t="s">
        <v>260</v>
      </c>
      <c r="D354">
        <v>49201</v>
      </c>
      <c r="E354">
        <v>4</v>
      </c>
      <c r="F354" s="24" t="str">
        <f t="shared" si="43"/>
        <v>2023-12</v>
      </c>
      <c r="O354" t="s">
        <v>35</v>
      </c>
      <c r="P354" t="s">
        <v>263</v>
      </c>
      <c r="Q354">
        <v>7</v>
      </c>
      <c r="AA354">
        <v>49201</v>
      </c>
      <c r="AB354" t="s">
        <v>261</v>
      </c>
      <c r="AD354">
        <f t="shared" si="41"/>
        <v>0</v>
      </c>
      <c r="AE354">
        <f t="shared" si="42"/>
        <v>0</v>
      </c>
      <c r="AG354" t="s">
        <v>35</v>
      </c>
      <c r="AH354" t="s">
        <v>263</v>
      </c>
      <c r="BF354" t="s">
        <v>263</v>
      </c>
      <c r="BG354" t="s">
        <v>35</v>
      </c>
      <c r="BH354">
        <v>7</v>
      </c>
      <c r="BI354" t="s">
        <v>500</v>
      </c>
      <c r="CG354" t="s">
        <v>55</v>
      </c>
      <c r="CH354" t="s">
        <v>261</v>
      </c>
      <c r="CI354">
        <v>49201</v>
      </c>
      <c r="CJ354" t="s">
        <v>499</v>
      </c>
    </row>
    <row r="355" spans="1:88" x14ac:dyDescent="0.25">
      <c r="A355" t="s">
        <v>75</v>
      </c>
      <c r="B355" t="s">
        <v>39</v>
      </c>
      <c r="C355" t="s">
        <v>262</v>
      </c>
      <c r="D355">
        <v>40948</v>
      </c>
      <c r="E355">
        <v>8</v>
      </c>
      <c r="F355" s="24" t="str">
        <f t="shared" si="43"/>
        <v>2023-12</v>
      </c>
      <c r="O355" t="s">
        <v>10</v>
      </c>
      <c r="P355" t="s">
        <v>119</v>
      </c>
      <c r="Q355">
        <v>8</v>
      </c>
      <c r="AA355">
        <v>40948</v>
      </c>
      <c r="AB355" t="s">
        <v>39</v>
      </c>
      <c r="AD355">
        <f t="shared" si="41"/>
        <v>0</v>
      </c>
      <c r="AE355">
        <f t="shared" si="42"/>
        <v>0</v>
      </c>
      <c r="AG355" t="s">
        <v>10</v>
      </c>
      <c r="AH355" t="s">
        <v>119</v>
      </c>
      <c r="BF355" t="s">
        <v>119</v>
      </c>
      <c r="BG355" t="s">
        <v>10</v>
      </c>
      <c r="BH355">
        <v>8</v>
      </c>
      <c r="BI355" t="s">
        <v>500</v>
      </c>
      <c r="CG355" t="s">
        <v>75</v>
      </c>
      <c r="CH355" t="s">
        <v>39</v>
      </c>
      <c r="CI355">
        <v>40948</v>
      </c>
      <c r="CJ355" t="s">
        <v>499</v>
      </c>
    </row>
    <row r="356" spans="1:88" x14ac:dyDescent="0.25">
      <c r="A356" t="s">
        <v>55</v>
      </c>
      <c r="B356" t="s">
        <v>100</v>
      </c>
      <c r="C356" t="s">
        <v>262</v>
      </c>
      <c r="D356">
        <v>84826</v>
      </c>
      <c r="E356">
        <v>7</v>
      </c>
      <c r="F356" s="24" t="str">
        <f t="shared" si="43"/>
        <v>2023-12</v>
      </c>
      <c r="O356" t="s">
        <v>55</v>
      </c>
      <c r="P356" t="s">
        <v>203</v>
      </c>
      <c r="Q356">
        <v>7</v>
      </c>
      <c r="AA356">
        <v>84826</v>
      </c>
      <c r="AB356" t="s">
        <v>100</v>
      </c>
      <c r="AD356">
        <f t="shared" si="41"/>
        <v>0</v>
      </c>
      <c r="AE356">
        <f t="shared" si="42"/>
        <v>0</v>
      </c>
      <c r="AG356" t="s">
        <v>55</v>
      </c>
      <c r="AH356" t="s">
        <v>203</v>
      </c>
      <c r="BF356" t="s">
        <v>203</v>
      </c>
      <c r="BG356" t="s">
        <v>55</v>
      </c>
      <c r="BH356">
        <v>7</v>
      </c>
      <c r="BI356" t="s">
        <v>500</v>
      </c>
      <c r="CG356" t="s">
        <v>55</v>
      </c>
      <c r="CH356" t="s">
        <v>100</v>
      </c>
      <c r="CI356">
        <v>84826</v>
      </c>
      <c r="CJ356" t="s">
        <v>499</v>
      </c>
    </row>
    <row r="357" spans="1:88" x14ac:dyDescent="0.25">
      <c r="A357" t="s">
        <v>37</v>
      </c>
      <c r="B357" t="s">
        <v>231</v>
      </c>
      <c r="C357" t="s">
        <v>262</v>
      </c>
      <c r="D357">
        <v>18354</v>
      </c>
      <c r="E357">
        <v>1</v>
      </c>
      <c r="F357" s="24" t="str">
        <f t="shared" si="43"/>
        <v>2023-12</v>
      </c>
      <c r="O357" t="s">
        <v>21</v>
      </c>
      <c r="P357" t="s">
        <v>151</v>
      </c>
      <c r="Q357">
        <v>2</v>
      </c>
      <c r="AA357">
        <v>18354</v>
      </c>
      <c r="AB357" t="s">
        <v>231</v>
      </c>
      <c r="AD357">
        <f t="shared" si="41"/>
        <v>0</v>
      </c>
      <c r="AE357">
        <f t="shared" si="42"/>
        <v>0</v>
      </c>
      <c r="AG357" t="s">
        <v>21</v>
      </c>
      <c r="AH357" t="s">
        <v>151</v>
      </c>
      <c r="BF357" t="s">
        <v>151</v>
      </c>
      <c r="BG357" t="s">
        <v>21</v>
      </c>
      <c r="BH357">
        <v>2</v>
      </c>
      <c r="BI357" t="s">
        <v>500</v>
      </c>
      <c r="CG357" t="s">
        <v>37</v>
      </c>
      <c r="CH357" t="s">
        <v>231</v>
      </c>
      <c r="CI357">
        <v>18354</v>
      </c>
      <c r="CJ357" t="s">
        <v>499</v>
      </c>
    </row>
    <row r="358" spans="1:88" x14ac:dyDescent="0.25">
      <c r="A358" t="s">
        <v>37</v>
      </c>
      <c r="B358" t="s">
        <v>263</v>
      </c>
      <c r="C358" t="s">
        <v>262</v>
      </c>
      <c r="D358">
        <v>32085</v>
      </c>
      <c r="E358">
        <v>9</v>
      </c>
      <c r="F358" s="24" t="str">
        <f t="shared" si="43"/>
        <v>2023-12</v>
      </c>
      <c r="O358" t="s">
        <v>53</v>
      </c>
      <c r="P358" t="s">
        <v>194</v>
      </c>
      <c r="Q358">
        <v>5</v>
      </c>
      <c r="AA358">
        <v>32085</v>
      </c>
      <c r="AB358" t="s">
        <v>263</v>
      </c>
      <c r="AD358">
        <f t="shared" si="41"/>
        <v>0</v>
      </c>
      <c r="AE358">
        <f t="shared" si="42"/>
        <v>0</v>
      </c>
      <c r="AG358" t="s">
        <v>53</v>
      </c>
      <c r="AH358" t="s">
        <v>194</v>
      </c>
      <c r="BF358" t="s">
        <v>194</v>
      </c>
      <c r="BG358" t="s">
        <v>53</v>
      </c>
      <c r="BH358">
        <v>5</v>
      </c>
      <c r="BI358" t="s">
        <v>500</v>
      </c>
      <c r="CG358" t="s">
        <v>37</v>
      </c>
      <c r="CH358" t="s">
        <v>263</v>
      </c>
      <c r="CI358">
        <v>32085</v>
      </c>
      <c r="CJ358" t="s">
        <v>499</v>
      </c>
    </row>
    <row r="359" spans="1:88" x14ac:dyDescent="0.25">
      <c r="A359" t="s">
        <v>35</v>
      </c>
      <c r="B359" t="s">
        <v>12</v>
      </c>
      <c r="C359" t="s">
        <v>264</v>
      </c>
      <c r="D359">
        <v>23297</v>
      </c>
      <c r="E359">
        <v>6</v>
      </c>
      <c r="F359" s="24" t="str">
        <f t="shared" si="43"/>
        <v>2023-12</v>
      </c>
      <c r="O359" t="s">
        <v>16</v>
      </c>
      <c r="P359" t="s">
        <v>164</v>
      </c>
      <c r="Q359">
        <v>5</v>
      </c>
      <c r="AA359">
        <v>23297</v>
      </c>
      <c r="AB359" t="s">
        <v>12</v>
      </c>
      <c r="AD359">
        <f t="shared" si="41"/>
        <v>0</v>
      </c>
      <c r="AE359">
        <f t="shared" si="42"/>
        <v>0</v>
      </c>
      <c r="AG359" t="s">
        <v>16</v>
      </c>
      <c r="AH359" t="s">
        <v>164</v>
      </c>
      <c r="BF359" t="s">
        <v>164</v>
      </c>
      <c r="BG359" t="s">
        <v>16</v>
      </c>
      <c r="BH359">
        <v>5</v>
      </c>
      <c r="BI359" t="s">
        <v>500</v>
      </c>
      <c r="CG359" t="s">
        <v>35</v>
      </c>
      <c r="CH359" t="s">
        <v>12</v>
      </c>
      <c r="CI359">
        <v>23297</v>
      </c>
      <c r="CJ359" t="s">
        <v>499</v>
      </c>
    </row>
    <row r="360" spans="1:88" x14ac:dyDescent="0.25">
      <c r="A360" t="s">
        <v>16</v>
      </c>
      <c r="B360" t="s">
        <v>163</v>
      </c>
      <c r="C360" t="s">
        <v>264</v>
      </c>
      <c r="D360">
        <v>24657</v>
      </c>
      <c r="E360">
        <v>7</v>
      </c>
      <c r="F360" s="24" t="str">
        <f t="shared" si="43"/>
        <v>2023-12</v>
      </c>
      <c r="O360" t="s">
        <v>29</v>
      </c>
      <c r="P360" t="s">
        <v>273</v>
      </c>
      <c r="Q360">
        <v>6</v>
      </c>
      <c r="AA360">
        <v>24657</v>
      </c>
      <c r="AB360" t="s">
        <v>163</v>
      </c>
      <c r="AD360">
        <f t="shared" si="41"/>
        <v>0</v>
      </c>
      <c r="AE360">
        <f t="shared" si="42"/>
        <v>0</v>
      </c>
      <c r="AG360" t="s">
        <v>29</v>
      </c>
      <c r="AH360" t="s">
        <v>273</v>
      </c>
      <c r="BF360" t="s">
        <v>273</v>
      </c>
      <c r="BG360" t="s">
        <v>29</v>
      </c>
      <c r="BH360">
        <v>6</v>
      </c>
      <c r="BI360" t="s">
        <v>500</v>
      </c>
      <c r="CG360" t="s">
        <v>16</v>
      </c>
      <c r="CH360" t="s">
        <v>163</v>
      </c>
      <c r="CI360">
        <v>24657</v>
      </c>
      <c r="CJ360" t="s">
        <v>499</v>
      </c>
    </row>
    <row r="361" spans="1:88" x14ac:dyDescent="0.25">
      <c r="A361" t="s">
        <v>16</v>
      </c>
      <c r="B361" t="s">
        <v>100</v>
      </c>
      <c r="C361" t="s">
        <v>264</v>
      </c>
      <c r="D361">
        <v>62962</v>
      </c>
      <c r="E361">
        <v>3</v>
      </c>
      <c r="F361" s="24" t="str">
        <f t="shared" si="43"/>
        <v>2023-12</v>
      </c>
      <c r="O361" t="s">
        <v>37</v>
      </c>
      <c r="P361" t="s">
        <v>88</v>
      </c>
      <c r="Q361">
        <v>7</v>
      </c>
      <c r="AA361">
        <v>62962</v>
      </c>
      <c r="AB361" t="s">
        <v>100</v>
      </c>
      <c r="AD361">
        <f t="shared" si="41"/>
        <v>0</v>
      </c>
      <c r="AE361">
        <f t="shared" si="42"/>
        <v>0</v>
      </c>
      <c r="AG361" t="s">
        <v>37</v>
      </c>
      <c r="AH361" t="s">
        <v>88</v>
      </c>
      <c r="BF361" t="s">
        <v>88</v>
      </c>
      <c r="BG361" t="s">
        <v>37</v>
      </c>
      <c r="BH361">
        <v>7</v>
      </c>
      <c r="BI361" t="s">
        <v>500</v>
      </c>
      <c r="CG361" t="s">
        <v>16</v>
      </c>
      <c r="CH361" t="s">
        <v>100</v>
      </c>
      <c r="CI361">
        <v>62962</v>
      </c>
      <c r="CJ361" t="s">
        <v>499</v>
      </c>
    </row>
    <row r="362" spans="1:88" x14ac:dyDescent="0.25">
      <c r="A362" t="s">
        <v>37</v>
      </c>
      <c r="B362" t="s">
        <v>119</v>
      </c>
      <c r="C362" t="s">
        <v>264</v>
      </c>
      <c r="D362">
        <v>98753</v>
      </c>
      <c r="E362">
        <v>8</v>
      </c>
      <c r="F362" s="24" t="str">
        <f t="shared" si="43"/>
        <v>2023-12</v>
      </c>
      <c r="O362" t="s">
        <v>29</v>
      </c>
      <c r="P362" t="s">
        <v>82</v>
      </c>
      <c r="Q362">
        <v>4</v>
      </c>
      <c r="AA362">
        <v>98753</v>
      </c>
      <c r="AB362" t="s">
        <v>119</v>
      </c>
      <c r="AD362">
        <f t="shared" si="41"/>
        <v>0</v>
      </c>
      <c r="AE362">
        <f t="shared" si="42"/>
        <v>0</v>
      </c>
      <c r="AG362" t="s">
        <v>29</v>
      </c>
      <c r="AH362" t="s">
        <v>82</v>
      </c>
      <c r="BF362" t="s">
        <v>82</v>
      </c>
      <c r="BG362" t="s">
        <v>29</v>
      </c>
      <c r="BH362">
        <v>4</v>
      </c>
      <c r="BI362" t="s">
        <v>500</v>
      </c>
      <c r="CG362" t="s">
        <v>37</v>
      </c>
      <c r="CH362" t="s">
        <v>119</v>
      </c>
      <c r="CI362">
        <v>98753</v>
      </c>
      <c r="CJ362" t="s">
        <v>499</v>
      </c>
    </row>
    <row r="363" spans="1:88" x14ac:dyDescent="0.25">
      <c r="A363" t="s">
        <v>8</v>
      </c>
      <c r="B363" t="s">
        <v>43</v>
      </c>
      <c r="C363" t="s">
        <v>264</v>
      </c>
      <c r="D363">
        <v>71368</v>
      </c>
      <c r="E363">
        <v>6</v>
      </c>
      <c r="F363" s="24" t="str">
        <f t="shared" si="43"/>
        <v>2023-12</v>
      </c>
      <c r="O363" t="s">
        <v>5</v>
      </c>
      <c r="P363" t="s">
        <v>83</v>
      </c>
      <c r="Q363">
        <v>7</v>
      </c>
      <c r="AA363">
        <v>71368</v>
      </c>
      <c r="AB363" t="s">
        <v>43</v>
      </c>
      <c r="AD363">
        <f t="shared" si="41"/>
        <v>0</v>
      </c>
      <c r="AE363">
        <f t="shared" si="42"/>
        <v>0</v>
      </c>
      <c r="AG363" t="s">
        <v>5</v>
      </c>
      <c r="AH363" t="s">
        <v>83</v>
      </c>
      <c r="BF363" t="s">
        <v>83</v>
      </c>
      <c r="BG363" t="s">
        <v>5</v>
      </c>
      <c r="BH363">
        <v>7</v>
      </c>
      <c r="BI363" t="s">
        <v>500</v>
      </c>
      <c r="CG363" t="s">
        <v>8</v>
      </c>
      <c r="CH363" t="s">
        <v>43</v>
      </c>
      <c r="CI363">
        <v>71368</v>
      </c>
      <c r="CJ363" t="s">
        <v>499</v>
      </c>
    </row>
    <row r="364" spans="1:88" x14ac:dyDescent="0.25">
      <c r="A364" t="s">
        <v>29</v>
      </c>
      <c r="B364" t="s">
        <v>106</v>
      </c>
      <c r="C364" t="s">
        <v>264</v>
      </c>
      <c r="D364">
        <v>98175</v>
      </c>
      <c r="E364">
        <v>6</v>
      </c>
      <c r="F364" s="24" t="str">
        <f t="shared" si="43"/>
        <v>2023-12</v>
      </c>
      <c r="O364" t="s">
        <v>75</v>
      </c>
      <c r="P364" t="s">
        <v>275</v>
      </c>
      <c r="Q364">
        <v>9</v>
      </c>
      <c r="AA364">
        <v>98175</v>
      </c>
      <c r="AB364" t="s">
        <v>106</v>
      </c>
      <c r="AD364">
        <f t="shared" si="41"/>
        <v>0</v>
      </c>
      <c r="AE364">
        <f t="shared" si="42"/>
        <v>0</v>
      </c>
      <c r="AG364" t="s">
        <v>75</v>
      </c>
      <c r="AH364" t="s">
        <v>275</v>
      </c>
      <c r="BF364" t="s">
        <v>275</v>
      </c>
      <c r="BG364" t="s">
        <v>75</v>
      </c>
      <c r="BH364">
        <v>9</v>
      </c>
      <c r="BI364" t="s">
        <v>500</v>
      </c>
      <c r="CG364" t="s">
        <v>29</v>
      </c>
      <c r="CH364" t="s">
        <v>106</v>
      </c>
      <c r="CI364">
        <v>98175</v>
      </c>
      <c r="CJ364" t="s">
        <v>499</v>
      </c>
    </row>
    <row r="365" spans="1:88" x14ac:dyDescent="0.25">
      <c r="A365" t="s">
        <v>21</v>
      </c>
      <c r="B365" t="s">
        <v>98</v>
      </c>
      <c r="C365" t="s">
        <v>264</v>
      </c>
      <c r="D365">
        <v>11347</v>
      </c>
      <c r="E365">
        <v>7</v>
      </c>
      <c r="F365" s="24" t="str">
        <f t="shared" si="43"/>
        <v>2023-12</v>
      </c>
      <c r="O365" t="s">
        <v>35</v>
      </c>
      <c r="P365" t="s">
        <v>213</v>
      </c>
      <c r="Q365">
        <v>9</v>
      </c>
      <c r="AA365">
        <v>11347</v>
      </c>
      <c r="AB365" t="s">
        <v>98</v>
      </c>
      <c r="AD365">
        <f t="shared" si="41"/>
        <v>0</v>
      </c>
      <c r="AE365">
        <f t="shared" si="42"/>
        <v>0</v>
      </c>
      <c r="AG365" t="s">
        <v>35</v>
      </c>
      <c r="AH365" t="s">
        <v>213</v>
      </c>
      <c r="BF365" t="s">
        <v>213</v>
      </c>
      <c r="BG365" t="s">
        <v>35</v>
      </c>
      <c r="BH365">
        <v>9</v>
      </c>
      <c r="BI365" t="s">
        <v>500</v>
      </c>
      <c r="CG365" t="s">
        <v>21</v>
      </c>
      <c r="CH365" t="s">
        <v>98</v>
      </c>
      <c r="CI365">
        <v>11347</v>
      </c>
      <c r="CJ365" t="s">
        <v>499</v>
      </c>
    </row>
    <row r="366" spans="1:88" x14ac:dyDescent="0.25">
      <c r="A366" t="s">
        <v>29</v>
      </c>
      <c r="B366" t="s">
        <v>88</v>
      </c>
      <c r="C366" t="s">
        <v>264</v>
      </c>
      <c r="D366">
        <v>24846</v>
      </c>
      <c r="E366">
        <v>7</v>
      </c>
      <c r="F366" s="24" t="str">
        <f t="shared" si="43"/>
        <v>2023-12</v>
      </c>
      <c r="O366" t="s">
        <v>14</v>
      </c>
      <c r="P366" t="s">
        <v>90</v>
      </c>
      <c r="Q366">
        <v>10</v>
      </c>
      <c r="AA366">
        <v>24846</v>
      </c>
      <c r="AB366" t="s">
        <v>88</v>
      </c>
      <c r="AD366">
        <f t="shared" si="41"/>
        <v>0</v>
      </c>
      <c r="AE366">
        <f t="shared" si="42"/>
        <v>0</v>
      </c>
      <c r="AG366" t="s">
        <v>14</v>
      </c>
      <c r="AH366" t="s">
        <v>90</v>
      </c>
      <c r="BF366" t="s">
        <v>90</v>
      </c>
      <c r="BG366" t="s">
        <v>14</v>
      </c>
      <c r="BH366">
        <v>10</v>
      </c>
      <c r="BI366" t="s">
        <v>500</v>
      </c>
      <c r="CG366" t="s">
        <v>29</v>
      </c>
      <c r="CH366" t="s">
        <v>88</v>
      </c>
      <c r="CI366">
        <v>24846</v>
      </c>
      <c r="CJ366" t="s">
        <v>499</v>
      </c>
    </row>
    <row r="367" spans="1:88" x14ac:dyDescent="0.25">
      <c r="A367" t="s">
        <v>35</v>
      </c>
      <c r="B367" t="s">
        <v>50</v>
      </c>
      <c r="C367" t="s">
        <v>265</v>
      </c>
      <c r="D367">
        <v>52197</v>
      </c>
      <c r="E367">
        <v>3</v>
      </c>
      <c r="F367" s="24" t="str">
        <f t="shared" si="43"/>
        <v>2024-1</v>
      </c>
      <c r="O367" t="s">
        <v>8</v>
      </c>
      <c r="P367" t="s">
        <v>160</v>
      </c>
      <c r="Q367">
        <v>10</v>
      </c>
      <c r="AA367">
        <v>52197</v>
      </c>
      <c r="AB367" t="s">
        <v>50</v>
      </c>
      <c r="AD367">
        <f t="shared" si="41"/>
        <v>0</v>
      </c>
      <c r="AE367">
        <f t="shared" si="42"/>
        <v>0</v>
      </c>
      <c r="AG367" t="s">
        <v>8</v>
      </c>
      <c r="AH367" t="s">
        <v>160</v>
      </c>
      <c r="BF367" t="s">
        <v>160</v>
      </c>
      <c r="BG367" t="s">
        <v>8</v>
      </c>
      <c r="BH367">
        <v>10</v>
      </c>
      <c r="BI367" t="s">
        <v>500</v>
      </c>
      <c r="CG367" t="s">
        <v>35</v>
      </c>
      <c r="CH367" t="s">
        <v>50</v>
      </c>
      <c r="CI367">
        <v>52197</v>
      </c>
      <c r="CJ367" t="s">
        <v>500</v>
      </c>
    </row>
    <row r="368" spans="1:88" x14ac:dyDescent="0.25">
      <c r="A368" t="s">
        <v>37</v>
      </c>
      <c r="B368" t="s">
        <v>251</v>
      </c>
      <c r="C368" t="s">
        <v>265</v>
      </c>
      <c r="D368">
        <v>12703</v>
      </c>
      <c r="E368">
        <v>6</v>
      </c>
      <c r="F368" s="24" t="str">
        <f t="shared" si="43"/>
        <v>2024-1</v>
      </c>
      <c r="O368" t="s">
        <v>55</v>
      </c>
      <c r="P368" t="s">
        <v>280</v>
      </c>
      <c r="Q368">
        <v>2</v>
      </c>
      <c r="AA368">
        <v>12703</v>
      </c>
      <c r="AB368" t="s">
        <v>251</v>
      </c>
      <c r="AD368">
        <f t="shared" si="41"/>
        <v>0</v>
      </c>
      <c r="AE368">
        <f t="shared" si="42"/>
        <v>0</v>
      </c>
      <c r="AG368" t="s">
        <v>55</v>
      </c>
      <c r="AH368" t="s">
        <v>280</v>
      </c>
      <c r="BF368" t="s">
        <v>280</v>
      </c>
      <c r="BG368" t="s">
        <v>55</v>
      </c>
      <c r="BH368">
        <v>2</v>
      </c>
      <c r="BI368" t="s">
        <v>500</v>
      </c>
      <c r="CG368" t="s">
        <v>37</v>
      </c>
      <c r="CH368" t="s">
        <v>251</v>
      </c>
      <c r="CI368">
        <v>12703</v>
      </c>
      <c r="CJ368" t="s">
        <v>500</v>
      </c>
    </row>
    <row r="369" spans="1:88" x14ac:dyDescent="0.25">
      <c r="A369" t="s">
        <v>5</v>
      </c>
      <c r="B369" t="s">
        <v>100</v>
      </c>
      <c r="C369" t="s">
        <v>265</v>
      </c>
      <c r="D369">
        <v>59569</v>
      </c>
      <c r="E369">
        <v>5</v>
      </c>
      <c r="F369" s="24" t="str">
        <f t="shared" si="43"/>
        <v>2024-1</v>
      </c>
      <c r="O369" t="s">
        <v>10</v>
      </c>
      <c r="P369" t="s">
        <v>6</v>
      </c>
      <c r="Q369">
        <v>8</v>
      </c>
      <c r="AA369">
        <v>59569</v>
      </c>
      <c r="AB369" t="s">
        <v>100</v>
      </c>
      <c r="AD369">
        <f t="shared" si="41"/>
        <v>0</v>
      </c>
      <c r="AE369">
        <f t="shared" si="42"/>
        <v>0</v>
      </c>
      <c r="AG369" t="s">
        <v>10</v>
      </c>
      <c r="AH369" t="s">
        <v>6</v>
      </c>
      <c r="BF369" t="s">
        <v>6</v>
      </c>
      <c r="BG369" t="s">
        <v>10</v>
      </c>
      <c r="BH369">
        <v>8</v>
      </c>
      <c r="BI369" t="s">
        <v>500</v>
      </c>
      <c r="CG369" t="s">
        <v>5</v>
      </c>
      <c r="CH369" t="s">
        <v>100</v>
      </c>
      <c r="CI369">
        <v>59569</v>
      </c>
      <c r="CJ369" t="s">
        <v>500</v>
      </c>
    </row>
    <row r="370" spans="1:88" x14ac:dyDescent="0.25">
      <c r="A370" t="s">
        <v>5</v>
      </c>
      <c r="B370" t="s">
        <v>138</v>
      </c>
      <c r="C370" t="s">
        <v>265</v>
      </c>
      <c r="D370">
        <v>69738</v>
      </c>
      <c r="E370">
        <v>3</v>
      </c>
      <c r="F370" s="24" t="str">
        <f t="shared" si="43"/>
        <v>2024-1</v>
      </c>
      <c r="O370" t="s">
        <v>29</v>
      </c>
      <c r="P370" t="s">
        <v>178</v>
      </c>
      <c r="Q370">
        <v>3</v>
      </c>
      <c r="AA370">
        <v>69738</v>
      </c>
      <c r="AB370" t="s">
        <v>138</v>
      </c>
      <c r="AD370">
        <f t="shared" si="41"/>
        <v>0</v>
      </c>
      <c r="AE370">
        <f t="shared" si="42"/>
        <v>0</v>
      </c>
      <c r="AG370" t="s">
        <v>29</v>
      </c>
      <c r="AH370" t="s">
        <v>178</v>
      </c>
      <c r="BF370" t="s">
        <v>178</v>
      </c>
      <c r="BG370" t="s">
        <v>29</v>
      </c>
      <c r="BH370">
        <v>3</v>
      </c>
      <c r="BI370" t="s">
        <v>500</v>
      </c>
      <c r="CG370" t="s">
        <v>5</v>
      </c>
      <c r="CH370" t="s">
        <v>138</v>
      </c>
      <c r="CI370">
        <v>69738</v>
      </c>
      <c r="CJ370" t="s">
        <v>500</v>
      </c>
    </row>
    <row r="371" spans="1:88" x14ac:dyDescent="0.25">
      <c r="A371" t="s">
        <v>8</v>
      </c>
      <c r="B371" t="s">
        <v>25</v>
      </c>
      <c r="C371" t="s">
        <v>265</v>
      </c>
      <c r="D371">
        <v>27937</v>
      </c>
      <c r="E371">
        <v>7</v>
      </c>
      <c r="F371" s="24" t="str">
        <f t="shared" si="43"/>
        <v>2024-1</v>
      </c>
      <c r="O371" t="s">
        <v>16</v>
      </c>
      <c r="P371" t="s">
        <v>18</v>
      </c>
      <c r="Q371">
        <v>8</v>
      </c>
      <c r="AA371">
        <v>27937</v>
      </c>
      <c r="AB371" t="s">
        <v>25</v>
      </c>
      <c r="AD371">
        <f t="shared" si="41"/>
        <v>0</v>
      </c>
      <c r="AE371">
        <f t="shared" si="42"/>
        <v>0</v>
      </c>
      <c r="AG371" t="s">
        <v>16</v>
      </c>
      <c r="AH371" t="s">
        <v>18</v>
      </c>
      <c r="BF371" t="s">
        <v>18</v>
      </c>
      <c r="BG371" t="s">
        <v>16</v>
      </c>
      <c r="BH371">
        <v>8</v>
      </c>
      <c r="BI371" t="s">
        <v>500</v>
      </c>
      <c r="CG371" t="s">
        <v>8</v>
      </c>
      <c r="CH371" t="s">
        <v>25</v>
      </c>
      <c r="CI371">
        <v>27937</v>
      </c>
      <c r="CJ371" t="s">
        <v>500</v>
      </c>
    </row>
    <row r="372" spans="1:88" x14ac:dyDescent="0.25">
      <c r="A372" t="s">
        <v>53</v>
      </c>
      <c r="B372" t="s">
        <v>160</v>
      </c>
      <c r="C372" t="s">
        <v>265</v>
      </c>
      <c r="D372">
        <v>18372</v>
      </c>
      <c r="E372">
        <v>7</v>
      </c>
      <c r="F372" s="24" t="str">
        <f t="shared" si="43"/>
        <v>2024-1</v>
      </c>
      <c r="O372" t="s">
        <v>55</v>
      </c>
      <c r="P372" t="s">
        <v>281</v>
      </c>
      <c r="Q372">
        <v>6</v>
      </c>
      <c r="AA372">
        <v>18372</v>
      </c>
      <c r="AB372" t="s">
        <v>160</v>
      </c>
      <c r="AD372">
        <f t="shared" si="41"/>
        <v>0</v>
      </c>
      <c r="AE372">
        <f t="shared" si="42"/>
        <v>0</v>
      </c>
      <c r="AG372" t="s">
        <v>55</v>
      </c>
      <c r="AH372" t="s">
        <v>281</v>
      </c>
      <c r="BF372" t="s">
        <v>281</v>
      </c>
      <c r="BG372" t="s">
        <v>55</v>
      </c>
      <c r="BH372">
        <v>6</v>
      </c>
      <c r="BI372" t="s">
        <v>500</v>
      </c>
      <c r="CG372" t="s">
        <v>53</v>
      </c>
      <c r="CH372" t="s">
        <v>160</v>
      </c>
      <c r="CI372">
        <v>18372</v>
      </c>
      <c r="CJ372" t="s">
        <v>500</v>
      </c>
    </row>
    <row r="373" spans="1:88" x14ac:dyDescent="0.25">
      <c r="A373" t="s">
        <v>16</v>
      </c>
      <c r="B373" t="s">
        <v>122</v>
      </c>
      <c r="C373" t="s">
        <v>265</v>
      </c>
      <c r="D373">
        <v>88991</v>
      </c>
      <c r="E373">
        <v>8</v>
      </c>
      <c r="F373" s="24" t="str">
        <f t="shared" si="43"/>
        <v>2024-1</v>
      </c>
      <c r="O373" t="s">
        <v>21</v>
      </c>
      <c r="P373" t="s">
        <v>44</v>
      </c>
      <c r="Q373">
        <v>8</v>
      </c>
      <c r="AA373">
        <v>88991</v>
      </c>
      <c r="AB373" t="s">
        <v>122</v>
      </c>
      <c r="AD373">
        <f t="shared" si="41"/>
        <v>0</v>
      </c>
      <c r="AE373">
        <f t="shared" si="42"/>
        <v>0</v>
      </c>
      <c r="AG373" t="s">
        <v>21</v>
      </c>
      <c r="AH373" t="s">
        <v>44</v>
      </c>
      <c r="BF373" t="s">
        <v>44</v>
      </c>
      <c r="BG373" t="s">
        <v>21</v>
      </c>
      <c r="BH373">
        <v>8</v>
      </c>
      <c r="BI373" t="s">
        <v>500</v>
      </c>
      <c r="CG373" t="s">
        <v>16</v>
      </c>
      <c r="CH373" t="s">
        <v>122</v>
      </c>
      <c r="CI373">
        <v>88991</v>
      </c>
      <c r="CJ373" t="s">
        <v>500</v>
      </c>
    </row>
    <row r="374" spans="1:88" x14ac:dyDescent="0.25">
      <c r="A374" t="s">
        <v>8</v>
      </c>
      <c r="B374" t="s">
        <v>58</v>
      </c>
      <c r="C374" t="s">
        <v>265</v>
      </c>
      <c r="D374">
        <v>52975</v>
      </c>
      <c r="E374">
        <v>7</v>
      </c>
      <c r="F374" s="24" t="str">
        <f t="shared" si="43"/>
        <v>2024-1</v>
      </c>
      <c r="O374" t="s">
        <v>35</v>
      </c>
      <c r="P374" t="s">
        <v>160</v>
      </c>
      <c r="Q374">
        <v>8</v>
      </c>
      <c r="AA374">
        <v>52975</v>
      </c>
      <c r="AB374" t="s">
        <v>58</v>
      </c>
      <c r="AD374">
        <f t="shared" si="41"/>
        <v>0</v>
      </c>
      <c r="AE374">
        <f t="shared" si="42"/>
        <v>0</v>
      </c>
      <c r="AG374" t="s">
        <v>35</v>
      </c>
      <c r="AH374" t="s">
        <v>160</v>
      </c>
      <c r="BF374" t="s">
        <v>160</v>
      </c>
      <c r="BG374" t="s">
        <v>35</v>
      </c>
      <c r="BH374">
        <v>8</v>
      </c>
      <c r="BI374" t="s">
        <v>500</v>
      </c>
      <c r="CG374" t="s">
        <v>8</v>
      </c>
      <c r="CH374" t="s">
        <v>58</v>
      </c>
      <c r="CI374">
        <v>52975</v>
      </c>
      <c r="CJ374" t="s">
        <v>500</v>
      </c>
    </row>
    <row r="375" spans="1:88" x14ac:dyDescent="0.25">
      <c r="A375" t="s">
        <v>5</v>
      </c>
      <c r="B375" t="s">
        <v>231</v>
      </c>
      <c r="C375" t="s">
        <v>265</v>
      </c>
      <c r="D375">
        <v>97334</v>
      </c>
      <c r="E375">
        <v>9</v>
      </c>
      <c r="F375" s="24" t="str">
        <f t="shared" si="43"/>
        <v>2024-1</v>
      </c>
      <c r="O375" t="s">
        <v>5</v>
      </c>
      <c r="P375" t="s">
        <v>188</v>
      </c>
      <c r="Q375">
        <v>7</v>
      </c>
      <c r="AA375">
        <v>97334</v>
      </c>
      <c r="AB375" t="s">
        <v>231</v>
      </c>
      <c r="AD375">
        <f t="shared" si="41"/>
        <v>0</v>
      </c>
      <c r="AE375">
        <f t="shared" si="42"/>
        <v>0</v>
      </c>
      <c r="AG375" t="s">
        <v>5</v>
      </c>
      <c r="AH375" t="s">
        <v>188</v>
      </c>
      <c r="BF375" t="s">
        <v>188</v>
      </c>
      <c r="BG375" t="s">
        <v>5</v>
      </c>
      <c r="BH375">
        <v>7</v>
      </c>
      <c r="BI375" t="s">
        <v>500</v>
      </c>
      <c r="CG375" t="s">
        <v>5</v>
      </c>
      <c r="CH375" t="s">
        <v>231</v>
      </c>
      <c r="CI375">
        <v>97334</v>
      </c>
      <c r="CJ375" t="s">
        <v>500</v>
      </c>
    </row>
    <row r="376" spans="1:88" x14ac:dyDescent="0.25">
      <c r="A376" t="s">
        <v>14</v>
      </c>
      <c r="B376" t="s">
        <v>83</v>
      </c>
      <c r="C376" t="s">
        <v>265</v>
      </c>
      <c r="D376">
        <v>18809</v>
      </c>
      <c r="E376">
        <v>2</v>
      </c>
      <c r="F376" s="24" t="str">
        <f t="shared" si="43"/>
        <v>2024-1</v>
      </c>
      <c r="O376" t="s">
        <v>55</v>
      </c>
      <c r="P376" t="s">
        <v>72</v>
      </c>
      <c r="Q376">
        <v>5</v>
      </c>
      <c r="AA376">
        <v>18809</v>
      </c>
      <c r="AB376" t="s">
        <v>83</v>
      </c>
      <c r="AD376">
        <f t="shared" si="41"/>
        <v>0</v>
      </c>
      <c r="AE376">
        <f t="shared" si="42"/>
        <v>0</v>
      </c>
      <c r="AG376" t="s">
        <v>55</v>
      </c>
      <c r="AH376" t="s">
        <v>72</v>
      </c>
      <c r="BF376" t="s">
        <v>72</v>
      </c>
      <c r="BG376" t="s">
        <v>55</v>
      </c>
      <c r="BH376">
        <v>5</v>
      </c>
      <c r="BI376" t="s">
        <v>500</v>
      </c>
      <c r="CG376" t="s">
        <v>14</v>
      </c>
      <c r="CH376" t="s">
        <v>83</v>
      </c>
      <c r="CI376">
        <v>18809</v>
      </c>
      <c r="CJ376" t="s">
        <v>500</v>
      </c>
    </row>
    <row r="377" spans="1:88" x14ac:dyDescent="0.25">
      <c r="A377" t="s">
        <v>37</v>
      </c>
      <c r="B377" t="s">
        <v>266</v>
      </c>
      <c r="C377" t="s">
        <v>267</v>
      </c>
      <c r="D377">
        <v>61112</v>
      </c>
      <c r="E377">
        <v>9</v>
      </c>
      <c r="F377" s="24" t="str">
        <f t="shared" si="43"/>
        <v>2024-1</v>
      </c>
      <c r="O377" t="s">
        <v>8</v>
      </c>
      <c r="P377" t="s">
        <v>22</v>
      </c>
      <c r="Q377">
        <v>6</v>
      </c>
      <c r="AA377">
        <v>61112</v>
      </c>
      <c r="AB377" t="s">
        <v>266</v>
      </c>
      <c r="AD377">
        <f t="shared" si="41"/>
        <v>0</v>
      </c>
      <c r="AE377">
        <f t="shared" si="42"/>
        <v>0</v>
      </c>
      <c r="AG377" t="s">
        <v>8</v>
      </c>
      <c r="AH377" t="s">
        <v>22</v>
      </c>
      <c r="BF377" t="s">
        <v>22</v>
      </c>
      <c r="BG377" t="s">
        <v>8</v>
      </c>
      <c r="BH377">
        <v>6</v>
      </c>
      <c r="BI377" t="s">
        <v>500</v>
      </c>
      <c r="CG377" t="s">
        <v>37</v>
      </c>
      <c r="CH377" t="s">
        <v>266</v>
      </c>
      <c r="CI377">
        <v>61112</v>
      </c>
      <c r="CJ377" t="s">
        <v>500</v>
      </c>
    </row>
    <row r="378" spans="1:88" x14ac:dyDescent="0.25">
      <c r="A378" t="s">
        <v>37</v>
      </c>
      <c r="B378" t="s">
        <v>49</v>
      </c>
      <c r="C378" t="s">
        <v>267</v>
      </c>
      <c r="D378">
        <v>35105</v>
      </c>
      <c r="E378">
        <v>8</v>
      </c>
      <c r="F378" s="24" t="str">
        <f t="shared" si="43"/>
        <v>2024-1</v>
      </c>
      <c r="O378" t="s">
        <v>75</v>
      </c>
      <c r="P378" t="s">
        <v>17</v>
      </c>
      <c r="Q378">
        <v>8</v>
      </c>
      <c r="AA378">
        <v>35105</v>
      </c>
      <c r="AB378" t="s">
        <v>49</v>
      </c>
      <c r="AD378">
        <f t="shared" si="41"/>
        <v>0</v>
      </c>
      <c r="AE378">
        <f t="shared" si="42"/>
        <v>0</v>
      </c>
      <c r="AG378" t="s">
        <v>75</v>
      </c>
      <c r="AH378" t="s">
        <v>17</v>
      </c>
      <c r="BF378" t="s">
        <v>17</v>
      </c>
      <c r="BG378" t="s">
        <v>75</v>
      </c>
      <c r="BH378">
        <v>8</v>
      </c>
      <c r="BI378" t="s">
        <v>500</v>
      </c>
      <c r="CG378" t="s">
        <v>37</v>
      </c>
      <c r="CH378" t="s">
        <v>49</v>
      </c>
      <c r="CI378">
        <v>35105</v>
      </c>
      <c r="CJ378" t="s">
        <v>500</v>
      </c>
    </row>
    <row r="379" spans="1:88" x14ac:dyDescent="0.25">
      <c r="A379" t="s">
        <v>21</v>
      </c>
      <c r="B379" t="s">
        <v>268</v>
      </c>
      <c r="C379" t="s">
        <v>267</v>
      </c>
      <c r="D379">
        <v>78170</v>
      </c>
      <c r="E379">
        <v>10</v>
      </c>
      <c r="F379" s="24" t="str">
        <f t="shared" si="43"/>
        <v>2024-1</v>
      </c>
      <c r="O379" t="s">
        <v>37</v>
      </c>
      <c r="P379" t="s">
        <v>284</v>
      </c>
      <c r="Q379">
        <v>10</v>
      </c>
      <c r="AA379">
        <v>78170</v>
      </c>
      <c r="AB379" t="s">
        <v>268</v>
      </c>
      <c r="AD379">
        <f t="shared" si="41"/>
        <v>0</v>
      </c>
      <c r="AE379">
        <f t="shared" si="42"/>
        <v>0</v>
      </c>
      <c r="AG379" t="s">
        <v>37</v>
      </c>
      <c r="AH379" t="s">
        <v>284</v>
      </c>
      <c r="BF379" t="s">
        <v>284</v>
      </c>
      <c r="BG379" t="s">
        <v>37</v>
      </c>
      <c r="BH379">
        <v>10</v>
      </c>
      <c r="BI379" t="s">
        <v>500</v>
      </c>
      <c r="CG379" t="s">
        <v>21</v>
      </c>
      <c r="CH379" t="s">
        <v>268</v>
      </c>
      <c r="CI379">
        <v>78170</v>
      </c>
      <c r="CJ379" t="s">
        <v>500</v>
      </c>
    </row>
    <row r="380" spans="1:88" x14ac:dyDescent="0.25">
      <c r="A380" t="s">
        <v>35</v>
      </c>
      <c r="B380" t="s">
        <v>172</v>
      </c>
      <c r="C380" t="s">
        <v>267</v>
      </c>
      <c r="D380">
        <v>69674</v>
      </c>
      <c r="E380">
        <v>7</v>
      </c>
      <c r="F380" s="24" t="str">
        <f t="shared" si="43"/>
        <v>2024-1</v>
      </c>
      <c r="O380" t="s">
        <v>10</v>
      </c>
      <c r="P380" t="s">
        <v>249</v>
      </c>
      <c r="Q380">
        <v>2</v>
      </c>
      <c r="AA380">
        <v>69674</v>
      </c>
      <c r="AB380" t="s">
        <v>172</v>
      </c>
      <c r="AD380">
        <f t="shared" si="41"/>
        <v>0</v>
      </c>
      <c r="AE380">
        <f t="shared" si="42"/>
        <v>0</v>
      </c>
      <c r="AG380" t="s">
        <v>10</v>
      </c>
      <c r="AH380" t="s">
        <v>249</v>
      </c>
      <c r="BF380" t="s">
        <v>249</v>
      </c>
      <c r="BG380" t="s">
        <v>10</v>
      </c>
      <c r="BH380">
        <v>2</v>
      </c>
      <c r="BI380" t="s">
        <v>500</v>
      </c>
      <c r="CG380" t="s">
        <v>35</v>
      </c>
      <c r="CH380" t="s">
        <v>172</v>
      </c>
      <c r="CI380">
        <v>69674</v>
      </c>
      <c r="CJ380" t="s">
        <v>500</v>
      </c>
    </row>
    <row r="381" spans="1:88" x14ac:dyDescent="0.25">
      <c r="A381" t="s">
        <v>37</v>
      </c>
      <c r="B381" t="s">
        <v>18</v>
      </c>
      <c r="C381" t="s">
        <v>267</v>
      </c>
      <c r="D381">
        <v>90429</v>
      </c>
      <c r="E381">
        <v>5</v>
      </c>
      <c r="F381" s="24" t="str">
        <f t="shared" si="43"/>
        <v>2024-1</v>
      </c>
      <c r="O381" t="s">
        <v>5</v>
      </c>
      <c r="P381" t="s">
        <v>116</v>
      </c>
      <c r="Q381">
        <v>4</v>
      </c>
      <c r="AA381">
        <v>90429</v>
      </c>
      <c r="AB381" t="s">
        <v>18</v>
      </c>
      <c r="AD381">
        <f t="shared" si="41"/>
        <v>0</v>
      </c>
      <c r="AE381">
        <f t="shared" si="42"/>
        <v>0</v>
      </c>
      <c r="AG381" t="s">
        <v>5</v>
      </c>
      <c r="AH381" t="s">
        <v>116</v>
      </c>
      <c r="BF381" t="s">
        <v>116</v>
      </c>
      <c r="BG381" t="s">
        <v>5</v>
      </c>
      <c r="BH381">
        <v>4</v>
      </c>
      <c r="BI381" t="s">
        <v>500</v>
      </c>
      <c r="CG381" t="s">
        <v>37</v>
      </c>
      <c r="CH381" t="s">
        <v>18</v>
      </c>
      <c r="CI381">
        <v>90429</v>
      </c>
      <c r="CJ381" t="s">
        <v>500</v>
      </c>
    </row>
    <row r="382" spans="1:88" x14ac:dyDescent="0.25">
      <c r="A382" t="s">
        <v>14</v>
      </c>
      <c r="B382" t="s">
        <v>131</v>
      </c>
      <c r="C382" t="s">
        <v>269</v>
      </c>
      <c r="D382">
        <v>19120</v>
      </c>
      <c r="E382">
        <v>4</v>
      </c>
      <c r="F382" s="24" t="str">
        <f t="shared" si="43"/>
        <v>2024-1</v>
      </c>
      <c r="O382" t="s">
        <v>8</v>
      </c>
      <c r="P382" t="s">
        <v>121</v>
      </c>
      <c r="Q382">
        <v>10</v>
      </c>
      <c r="AA382">
        <v>19120</v>
      </c>
      <c r="AB382" t="s">
        <v>131</v>
      </c>
      <c r="AD382">
        <f t="shared" si="41"/>
        <v>0</v>
      </c>
      <c r="AE382">
        <f t="shared" si="42"/>
        <v>0</v>
      </c>
      <c r="AG382" t="s">
        <v>8</v>
      </c>
      <c r="AH382" t="s">
        <v>121</v>
      </c>
      <c r="BF382" t="s">
        <v>121</v>
      </c>
      <c r="BG382" t="s">
        <v>8</v>
      </c>
      <c r="BH382">
        <v>10</v>
      </c>
      <c r="BI382" t="s">
        <v>500</v>
      </c>
      <c r="CG382" t="s">
        <v>14</v>
      </c>
      <c r="CH382" t="s">
        <v>131</v>
      </c>
      <c r="CI382">
        <v>19120</v>
      </c>
      <c r="CJ382" t="s">
        <v>500</v>
      </c>
    </row>
    <row r="383" spans="1:88" x14ac:dyDescent="0.25">
      <c r="A383" t="s">
        <v>5</v>
      </c>
      <c r="B383" t="s">
        <v>231</v>
      </c>
      <c r="C383" t="s">
        <v>269</v>
      </c>
      <c r="D383">
        <v>70199</v>
      </c>
      <c r="E383">
        <v>4</v>
      </c>
      <c r="F383" s="24" t="str">
        <f t="shared" si="43"/>
        <v>2024-1</v>
      </c>
      <c r="O383" t="s">
        <v>16</v>
      </c>
      <c r="P383" t="s">
        <v>287</v>
      </c>
      <c r="Q383">
        <v>6</v>
      </c>
      <c r="AA383">
        <v>70199</v>
      </c>
      <c r="AB383" t="s">
        <v>231</v>
      </c>
      <c r="AD383">
        <f t="shared" si="41"/>
        <v>0</v>
      </c>
      <c r="AE383">
        <f t="shared" si="42"/>
        <v>0</v>
      </c>
      <c r="AG383" t="s">
        <v>16</v>
      </c>
      <c r="AH383" t="s">
        <v>287</v>
      </c>
      <c r="BF383" t="s">
        <v>287</v>
      </c>
      <c r="BG383" t="s">
        <v>16</v>
      </c>
      <c r="BH383">
        <v>6</v>
      </c>
      <c r="BI383" t="s">
        <v>500</v>
      </c>
      <c r="CG383" t="s">
        <v>5</v>
      </c>
      <c r="CH383" t="s">
        <v>231</v>
      </c>
      <c r="CI383">
        <v>70199</v>
      </c>
      <c r="CJ383" t="s">
        <v>500</v>
      </c>
    </row>
    <row r="384" spans="1:88" x14ac:dyDescent="0.25">
      <c r="A384" t="s">
        <v>16</v>
      </c>
      <c r="B384" t="s">
        <v>24</v>
      </c>
      <c r="C384" t="s">
        <v>270</v>
      </c>
      <c r="D384">
        <v>70120</v>
      </c>
      <c r="E384">
        <v>8</v>
      </c>
      <c r="F384" s="24" t="str">
        <f t="shared" si="43"/>
        <v>2024-1</v>
      </c>
      <c r="O384" t="s">
        <v>16</v>
      </c>
      <c r="P384" t="s">
        <v>58</v>
      </c>
      <c r="Q384">
        <v>7</v>
      </c>
      <c r="AA384">
        <v>70120</v>
      </c>
      <c r="AB384" t="s">
        <v>24</v>
      </c>
      <c r="AD384">
        <f t="shared" si="41"/>
        <v>0</v>
      </c>
      <c r="AE384">
        <f t="shared" si="42"/>
        <v>0</v>
      </c>
      <c r="AG384" t="s">
        <v>16</v>
      </c>
      <c r="AH384" t="s">
        <v>58</v>
      </c>
      <c r="BF384" t="s">
        <v>58</v>
      </c>
      <c r="BG384" t="s">
        <v>16</v>
      </c>
      <c r="BH384">
        <v>7</v>
      </c>
      <c r="BI384" t="s">
        <v>500</v>
      </c>
      <c r="CG384" t="s">
        <v>16</v>
      </c>
      <c r="CH384" t="s">
        <v>24</v>
      </c>
      <c r="CI384">
        <v>70120</v>
      </c>
      <c r="CJ384" t="s">
        <v>500</v>
      </c>
    </row>
    <row r="385" spans="1:88" x14ac:dyDescent="0.25">
      <c r="A385" t="s">
        <v>29</v>
      </c>
      <c r="B385" t="s">
        <v>100</v>
      </c>
      <c r="C385" t="s">
        <v>270</v>
      </c>
      <c r="D385">
        <v>97983</v>
      </c>
      <c r="E385">
        <v>7</v>
      </c>
      <c r="F385" s="24" t="str">
        <f t="shared" si="43"/>
        <v>2024-1</v>
      </c>
      <c r="O385" t="s">
        <v>75</v>
      </c>
      <c r="P385" t="s">
        <v>132</v>
      </c>
      <c r="Q385">
        <v>6</v>
      </c>
      <c r="AA385">
        <v>97983</v>
      </c>
      <c r="AB385" t="s">
        <v>100</v>
      </c>
      <c r="AD385">
        <f t="shared" si="41"/>
        <v>0</v>
      </c>
      <c r="AE385">
        <f t="shared" si="42"/>
        <v>0</v>
      </c>
      <c r="AG385" t="s">
        <v>75</v>
      </c>
      <c r="AH385" t="s">
        <v>132</v>
      </c>
      <c r="BF385" t="s">
        <v>132</v>
      </c>
      <c r="BG385" t="s">
        <v>75</v>
      </c>
      <c r="BH385">
        <v>6</v>
      </c>
      <c r="BI385" t="s">
        <v>500</v>
      </c>
      <c r="CG385" t="s">
        <v>29</v>
      </c>
      <c r="CH385" t="s">
        <v>100</v>
      </c>
      <c r="CI385">
        <v>97983</v>
      </c>
      <c r="CJ385" t="s">
        <v>500</v>
      </c>
    </row>
    <row r="386" spans="1:88" x14ac:dyDescent="0.25">
      <c r="A386" t="s">
        <v>55</v>
      </c>
      <c r="B386" t="s">
        <v>200</v>
      </c>
      <c r="C386" t="s">
        <v>270</v>
      </c>
      <c r="D386">
        <v>81135</v>
      </c>
      <c r="E386">
        <v>7</v>
      </c>
      <c r="F386" s="24" t="str">
        <f t="shared" si="43"/>
        <v>2024-1</v>
      </c>
      <c r="O386" t="s">
        <v>8</v>
      </c>
      <c r="P386" t="s">
        <v>27</v>
      </c>
      <c r="Q386">
        <v>2</v>
      </c>
      <c r="AA386">
        <v>81135</v>
      </c>
      <c r="AB386" t="s">
        <v>200</v>
      </c>
      <c r="AD386">
        <f t="shared" ref="AD386:AD449" si="44">COUNTIF(AB:AB,AC386)</f>
        <v>0</v>
      </c>
      <c r="AE386">
        <f t="shared" ref="AE386:AE449" si="45">SUMIF(AB:AB,AC386,AA:AA)</f>
        <v>0</v>
      </c>
      <c r="AG386" t="s">
        <v>8</v>
      </c>
      <c r="AH386" t="s">
        <v>27</v>
      </c>
      <c r="BF386" t="s">
        <v>27</v>
      </c>
      <c r="BG386" t="s">
        <v>8</v>
      </c>
      <c r="BH386">
        <v>2</v>
      </c>
      <c r="BI386" t="s">
        <v>500</v>
      </c>
      <c r="CG386" t="s">
        <v>55</v>
      </c>
      <c r="CH386" t="s">
        <v>200</v>
      </c>
      <c r="CI386">
        <v>81135</v>
      </c>
      <c r="CJ386" t="s">
        <v>500</v>
      </c>
    </row>
    <row r="387" spans="1:88" x14ac:dyDescent="0.25">
      <c r="A387" t="s">
        <v>5</v>
      </c>
      <c r="B387" t="s">
        <v>98</v>
      </c>
      <c r="C387" t="s">
        <v>271</v>
      </c>
      <c r="D387">
        <v>97587</v>
      </c>
      <c r="E387">
        <v>2</v>
      </c>
      <c r="F387" s="24" t="str">
        <f t="shared" ref="F387:F450" si="46">YEAR(C387)&amp;"-"&amp;MONTH(C387)</f>
        <v>2024-1</v>
      </c>
      <c r="O387" t="s">
        <v>29</v>
      </c>
      <c r="P387" t="s">
        <v>65</v>
      </c>
      <c r="Q387">
        <v>4</v>
      </c>
      <c r="AA387">
        <v>97587</v>
      </c>
      <c r="AB387" t="s">
        <v>98</v>
      </c>
      <c r="AD387">
        <f t="shared" si="44"/>
        <v>0</v>
      </c>
      <c r="AE387">
        <f t="shared" si="45"/>
        <v>0</v>
      </c>
      <c r="AG387" t="s">
        <v>29</v>
      </c>
      <c r="AH387" t="s">
        <v>65</v>
      </c>
      <c r="BF387" t="s">
        <v>65</v>
      </c>
      <c r="BG387" t="s">
        <v>29</v>
      </c>
      <c r="BH387">
        <v>4</v>
      </c>
      <c r="BI387" t="s">
        <v>500</v>
      </c>
      <c r="CG387" t="s">
        <v>5</v>
      </c>
      <c r="CH387" t="s">
        <v>98</v>
      </c>
      <c r="CI387">
        <v>97587</v>
      </c>
      <c r="CJ387" t="s">
        <v>500</v>
      </c>
    </row>
    <row r="388" spans="1:88" x14ac:dyDescent="0.25">
      <c r="A388" t="s">
        <v>14</v>
      </c>
      <c r="B388" t="s">
        <v>125</v>
      </c>
      <c r="C388" t="s">
        <v>271</v>
      </c>
      <c r="D388">
        <v>76428</v>
      </c>
      <c r="E388">
        <v>9</v>
      </c>
      <c r="F388" s="24" t="str">
        <f t="shared" si="46"/>
        <v>2024-1</v>
      </c>
      <c r="O388" t="s">
        <v>5</v>
      </c>
      <c r="P388" t="s">
        <v>164</v>
      </c>
      <c r="Q388">
        <v>4</v>
      </c>
      <c r="AA388">
        <v>76428</v>
      </c>
      <c r="AB388" t="s">
        <v>125</v>
      </c>
      <c r="AD388">
        <f t="shared" si="44"/>
        <v>0</v>
      </c>
      <c r="AE388">
        <f t="shared" si="45"/>
        <v>0</v>
      </c>
      <c r="AG388" t="s">
        <v>5</v>
      </c>
      <c r="AH388" t="s">
        <v>164</v>
      </c>
      <c r="BF388" t="s">
        <v>164</v>
      </c>
      <c r="BG388" t="s">
        <v>5</v>
      </c>
      <c r="BH388">
        <v>4</v>
      </c>
      <c r="BI388" t="s">
        <v>500</v>
      </c>
      <c r="CG388" t="s">
        <v>14</v>
      </c>
      <c r="CH388" t="s">
        <v>125</v>
      </c>
      <c r="CI388">
        <v>76428</v>
      </c>
      <c r="CJ388" t="s">
        <v>500</v>
      </c>
    </row>
    <row r="389" spans="1:88" x14ac:dyDescent="0.25">
      <c r="A389" t="s">
        <v>35</v>
      </c>
      <c r="B389" t="s">
        <v>263</v>
      </c>
      <c r="C389" t="s">
        <v>272</v>
      </c>
      <c r="D389">
        <v>78259</v>
      </c>
      <c r="E389">
        <v>7</v>
      </c>
      <c r="F389" s="24" t="str">
        <f t="shared" si="46"/>
        <v>2024-1</v>
      </c>
      <c r="O389" t="s">
        <v>8</v>
      </c>
      <c r="P389" t="s">
        <v>247</v>
      </c>
      <c r="Q389">
        <v>4</v>
      </c>
      <c r="AA389">
        <v>78259</v>
      </c>
      <c r="AB389" t="s">
        <v>263</v>
      </c>
      <c r="AD389">
        <f t="shared" si="44"/>
        <v>0</v>
      </c>
      <c r="AE389">
        <f t="shared" si="45"/>
        <v>0</v>
      </c>
      <c r="AG389" t="s">
        <v>8</v>
      </c>
      <c r="AH389" t="s">
        <v>247</v>
      </c>
      <c r="BF389" t="s">
        <v>247</v>
      </c>
      <c r="BG389" t="s">
        <v>8</v>
      </c>
      <c r="BH389">
        <v>4</v>
      </c>
      <c r="BI389" t="s">
        <v>500</v>
      </c>
      <c r="CG389" t="s">
        <v>35</v>
      </c>
      <c r="CH389" t="s">
        <v>263</v>
      </c>
      <c r="CI389">
        <v>78259</v>
      </c>
      <c r="CJ389" t="s">
        <v>500</v>
      </c>
    </row>
    <row r="390" spans="1:88" x14ac:dyDescent="0.25">
      <c r="A390" t="s">
        <v>10</v>
      </c>
      <c r="B390" t="s">
        <v>119</v>
      </c>
      <c r="C390" t="s">
        <v>272</v>
      </c>
      <c r="D390">
        <v>32295</v>
      </c>
      <c r="E390">
        <v>8</v>
      </c>
      <c r="F390" s="24" t="str">
        <f t="shared" si="46"/>
        <v>2024-1</v>
      </c>
      <c r="O390" t="s">
        <v>14</v>
      </c>
      <c r="P390" t="s">
        <v>176</v>
      </c>
      <c r="Q390">
        <v>2</v>
      </c>
      <c r="AA390">
        <v>32295</v>
      </c>
      <c r="AB390" t="s">
        <v>119</v>
      </c>
      <c r="AD390">
        <f t="shared" si="44"/>
        <v>0</v>
      </c>
      <c r="AE390">
        <f t="shared" si="45"/>
        <v>0</v>
      </c>
      <c r="AG390" t="s">
        <v>14</v>
      </c>
      <c r="AH390" t="s">
        <v>176</v>
      </c>
      <c r="BF390" t="s">
        <v>176</v>
      </c>
      <c r="BG390" t="s">
        <v>14</v>
      </c>
      <c r="BH390">
        <v>2</v>
      </c>
      <c r="BI390" t="s">
        <v>500</v>
      </c>
      <c r="CG390" t="s">
        <v>10</v>
      </c>
      <c r="CH390" t="s">
        <v>119</v>
      </c>
      <c r="CI390">
        <v>32295</v>
      </c>
      <c r="CJ390" t="s">
        <v>500</v>
      </c>
    </row>
    <row r="391" spans="1:88" x14ac:dyDescent="0.25">
      <c r="A391" t="s">
        <v>55</v>
      </c>
      <c r="B391" t="s">
        <v>203</v>
      </c>
      <c r="C391" t="s">
        <v>272</v>
      </c>
      <c r="D391">
        <v>15283</v>
      </c>
      <c r="E391">
        <v>7</v>
      </c>
      <c r="F391" s="24" t="str">
        <f t="shared" si="46"/>
        <v>2024-1</v>
      </c>
      <c r="O391" t="s">
        <v>37</v>
      </c>
      <c r="P391" t="s">
        <v>138</v>
      </c>
      <c r="Q391">
        <v>3</v>
      </c>
      <c r="AA391">
        <v>15283</v>
      </c>
      <c r="AB391" t="s">
        <v>203</v>
      </c>
      <c r="AD391">
        <f t="shared" si="44"/>
        <v>0</v>
      </c>
      <c r="AE391">
        <f t="shared" si="45"/>
        <v>0</v>
      </c>
      <c r="AG391" t="s">
        <v>37</v>
      </c>
      <c r="AH391" t="s">
        <v>138</v>
      </c>
      <c r="BF391" t="s">
        <v>138</v>
      </c>
      <c r="BG391" t="s">
        <v>37</v>
      </c>
      <c r="BH391">
        <v>3</v>
      </c>
      <c r="BI391" t="s">
        <v>500</v>
      </c>
      <c r="CG391" t="s">
        <v>55</v>
      </c>
      <c r="CH391" t="s">
        <v>203</v>
      </c>
      <c r="CI391">
        <v>15283</v>
      </c>
      <c r="CJ391" t="s">
        <v>500</v>
      </c>
    </row>
    <row r="392" spans="1:88" x14ac:dyDescent="0.25">
      <c r="A392" t="s">
        <v>21</v>
      </c>
      <c r="B392" t="s">
        <v>151</v>
      </c>
      <c r="C392" t="s">
        <v>272</v>
      </c>
      <c r="D392">
        <v>18851</v>
      </c>
      <c r="E392">
        <v>2</v>
      </c>
      <c r="F392" s="24" t="str">
        <f t="shared" si="46"/>
        <v>2024-1</v>
      </c>
      <c r="O392" t="s">
        <v>16</v>
      </c>
      <c r="P392" t="s">
        <v>95</v>
      </c>
      <c r="Q392">
        <v>2</v>
      </c>
      <c r="AA392">
        <v>18851</v>
      </c>
      <c r="AB392" t="s">
        <v>151</v>
      </c>
      <c r="AD392">
        <f t="shared" si="44"/>
        <v>0</v>
      </c>
      <c r="AE392">
        <f t="shared" si="45"/>
        <v>0</v>
      </c>
      <c r="AG392" t="s">
        <v>16</v>
      </c>
      <c r="AH392" t="s">
        <v>95</v>
      </c>
      <c r="BF392" t="s">
        <v>95</v>
      </c>
      <c r="BG392" t="s">
        <v>16</v>
      </c>
      <c r="BH392">
        <v>2</v>
      </c>
      <c r="BI392" t="s">
        <v>500</v>
      </c>
      <c r="CG392" t="s">
        <v>21</v>
      </c>
      <c r="CH392" t="s">
        <v>151</v>
      </c>
      <c r="CI392">
        <v>18851</v>
      </c>
      <c r="CJ392" t="s">
        <v>500</v>
      </c>
    </row>
    <row r="393" spans="1:88" x14ac:dyDescent="0.25">
      <c r="A393" t="s">
        <v>75</v>
      </c>
      <c r="B393" t="s">
        <v>76</v>
      </c>
      <c r="C393" t="s">
        <v>272</v>
      </c>
      <c r="D393">
        <v>94818</v>
      </c>
      <c r="E393">
        <v>6</v>
      </c>
      <c r="F393" s="24" t="str">
        <f t="shared" si="46"/>
        <v>2024-1</v>
      </c>
      <c r="O393" t="s">
        <v>16</v>
      </c>
      <c r="P393" t="s">
        <v>143</v>
      </c>
      <c r="Q393">
        <v>4</v>
      </c>
      <c r="AA393">
        <v>94818</v>
      </c>
      <c r="AB393" t="s">
        <v>76</v>
      </c>
      <c r="AD393">
        <f t="shared" si="44"/>
        <v>0</v>
      </c>
      <c r="AE393">
        <f t="shared" si="45"/>
        <v>0</v>
      </c>
      <c r="AG393" t="s">
        <v>16</v>
      </c>
      <c r="AH393" t="s">
        <v>143</v>
      </c>
      <c r="BF393" t="s">
        <v>143</v>
      </c>
      <c r="BG393" t="s">
        <v>16</v>
      </c>
      <c r="BH393">
        <v>4</v>
      </c>
      <c r="BI393" t="s">
        <v>500</v>
      </c>
      <c r="CG393" t="s">
        <v>75</v>
      </c>
      <c r="CH393" t="s">
        <v>76</v>
      </c>
      <c r="CI393">
        <v>94818</v>
      </c>
      <c r="CJ393" t="s">
        <v>500</v>
      </c>
    </row>
    <row r="394" spans="1:88" x14ac:dyDescent="0.25">
      <c r="A394" t="s">
        <v>35</v>
      </c>
      <c r="B394" t="s">
        <v>66</v>
      </c>
      <c r="C394" t="s">
        <v>272</v>
      </c>
      <c r="D394">
        <v>14306</v>
      </c>
      <c r="E394">
        <v>6</v>
      </c>
      <c r="F394" s="24" t="str">
        <f t="shared" si="46"/>
        <v>2024-1</v>
      </c>
      <c r="O394" t="s">
        <v>37</v>
      </c>
      <c r="P394" t="s">
        <v>46</v>
      </c>
      <c r="Q394">
        <v>7</v>
      </c>
      <c r="AA394">
        <v>14306</v>
      </c>
      <c r="AB394" t="s">
        <v>66</v>
      </c>
      <c r="AD394">
        <f t="shared" si="44"/>
        <v>0</v>
      </c>
      <c r="AE394">
        <f t="shared" si="45"/>
        <v>0</v>
      </c>
      <c r="AG394" t="s">
        <v>37</v>
      </c>
      <c r="AH394" t="s">
        <v>46</v>
      </c>
      <c r="BF394" t="s">
        <v>46</v>
      </c>
      <c r="BG394" t="s">
        <v>37</v>
      </c>
      <c r="BH394">
        <v>7</v>
      </c>
      <c r="BI394" t="s">
        <v>500</v>
      </c>
      <c r="CG394" t="s">
        <v>35</v>
      </c>
      <c r="CH394" t="s">
        <v>66</v>
      </c>
      <c r="CI394">
        <v>14306</v>
      </c>
      <c r="CJ394" t="s">
        <v>500</v>
      </c>
    </row>
    <row r="395" spans="1:88" x14ac:dyDescent="0.25">
      <c r="A395" t="s">
        <v>53</v>
      </c>
      <c r="B395" t="s">
        <v>194</v>
      </c>
      <c r="C395" t="s">
        <v>272</v>
      </c>
      <c r="D395">
        <v>91500</v>
      </c>
      <c r="E395">
        <v>5</v>
      </c>
      <c r="F395" s="24" t="str">
        <f t="shared" si="46"/>
        <v>2024-1</v>
      </c>
      <c r="O395" t="s">
        <v>10</v>
      </c>
      <c r="P395" t="s">
        <v>54</v>
      </c>
      <c r="Q395">
        <v>5</v>
      </c>
      <c r="AA395">
        <v>91500</v>
      </c>
      <c r="AB395" t="s">
        <v>194</v>
      </c>
      <c r="AD395">
        <f t="shared" si="44"/>
        <v>0</v>
      </c>
      <c r="AE395">
        <f t="shared" si="45"/>
        <v>0</v>
      </c>
      <c r="AG395" t="s">
        <v>10</v>
      </c>
      <c r="AH395" t="s">
        <v>54</v>
      </c>
      <c r="BF395" t="s">
        <v>54</v>
      </c>
      <c r="BG395" t="s">
        <v>10</v>
      </c>
      <c r="BH395">
        <v>5</v>
      </c>
      <c r="BI395" t="s">
        <v>500</v>
      </c>
      <c r="CG395" t="s">
        <v>53</v>
      </c>
      <c r="CH395" t="s">
        <v>194</v>
      </c>
      <c r="CI395">
        <v>91500</v>
      </c>
      <c r="CJ395" t="s">
        <v>500</v>
      </c>
    </row>
    <row r="396" spans="1:88" x14ac:dyDescent="0.25">
      <c r="A396" t="s">
        <v>5</v>
      </c>
      <c r="B396" t="s">
        <v>51</v>
      </c>
      <c r="C396" t="s">
        <v>272</v>
      </c>
      <c r="D396">
        <v>70940</v>
      </c>
      <c r="E396">
        <v>5</v>
      </c>
      <c r="F396" s="24" t="str">
        <f t="shared" si="46"/>
        <v>2024-1</v>
      </c>
      <c r="O396" t="s">
        <v>35</v>
      </c>
      <c r="P396" t="s">
        <v>127</v>
      </c>
      <c r="Q396">
        <v>7</v>
      </c>
      <c r="AA396">
        <v>70940</v>
      </c>
      <c r="AB396" t="s">
        <v>51</v>
      </c>
      <c r="AD396">
        <f t="shared" si="44"/>
        <v>0</v>
      </c>
      <c r="AE396">
        <f t="shared" si="45"/>
        <v>0</v>
      </c>
      <c r="AG396" t="s">
        <v>35</v>
      </c>
      <c r="AH396" t="s">
        <v>127</v>
      </c>
      <c r="BF396" t="s">
        <v>127</v>
      </c>
      <c r="BG396" t="s">
        <v>35</v>
      </c>
      <c r="BH396">
        <v>7</v>
      </c>
      <c r="BI396" t="s">
        <v>500</v>
      </c>
      <c r="CG396" t="s">
        <v>5</v>
      </c>
      <c r="CH396" t="s">
        <v>51</v>
      </c>
      <c r="CI396">
        <v>70940</v>
      </c>
      <c r="CJ396" t="s">
        <v>500</v>
      </c>
    </row>
    <row r="397" spans="1:88" x14ac:dyDescent="0.25">
      <c r="A397" t="s">
        <v>16</v>
      </c>
      <c r="B397" t="s">
        <v>164</v>
      </c>
      <c r="C397" t="s">
        <v>272</v>
      </c>
      <c r="D397">
        <v>10828</v>
      </c>
      <c r="E397">
        <v>5</v>
      </c>
      <c r="F397" s="24" t="str">
        <f t="shared" si="46"/>
        <v>2024-1</v>
      </c>
      <c r="O397" t="s">
        <v>35</v>
      </c>
      <c r="P397" t="s">
        <v>118</v>
      </c>
      <c r="Q397">
        <v>8</v>
      </c>
      <c r="AA397">
        <v>10828</v>
      </c>
      <c r="AB397" t="s">
        <v>164</v>
      </c>
      <c r="AD397">
        <f t="shared" si="44"/>
        <v>0</v>
      </c>
      <c r="AE397">
        <f t="shared" si="45"/>
        <v>0</v>
      </c>
      <c r="AG397" t="s">
        <v>35</v>
      </c>
      <c r="AH397" t="s">
        <v>118</v>
      </c>
      <c r="BF397" t="s">
        <v>118</v>
      </c>
      <c r="BG397" t="s">
        <v>35</v>
      </c>
      <c r="BH397">
        <v>8</v>
      </c>
      <c r="BI397" t="s">
        <v>500</v>
      </c>
      <c r="CG397" t="s">
        <v>16</v>
      </c>
      <c r="CH397" t="s">
        <v>164</v>
      </c>
      <c r="CI397">
        <v>10828</v>
      </c>
      <c r="CJ397" t="s">
        <v>500</v>
      </c>
    </row>
    <row r="398" spans="1:88" x14ac:dyDescent="0.25">
      <c r="A398" t="s">
        <v>29</v>
      </c>
      <c r="B398" t="s">
        <v>273</v>
      </c>
      <c r="C398" t="s">
        <v>272</v>
      </c>
      <c r="D398">
        <v>64685</v>
      </c>
      <c r="E398">
        <v>6</v>
      </c>
      <c r="F398" s="24" t="str">
        <f t="shared" si="46"/>
        <v>2024-1</v>
      </c>
      <c r="O398" t="s">
        <v>14</v>
      </c>
      <c r="P398" t="s">
        <v>166</v>
      </c>
      <c r="Q398">
        <v>7</v>
      </c>
      <c r="AA398">
        <v>64685</v>
      </c>
      <c r="AB398" t="s">
        <v>273</v>
      </c>
      <c r="AD398">
        <f t="shared" si="44"/>
        <v>0</v>
      </c>
      <c r="AE398">
        <f t="shared" si="45"/>
        <v>0</v>
      </c>
      <c r="AG398" t="s">
        <v>14</v>
      </c>
      <c r="AH398" t="s">
        <v>166</v>
      </c>
      <c r="BF398" t="s">
        <v>166</v>
      </c>
      <c r="BG398" t="s">
        <v>14</v>
      </c>
      <c r="BH398">
        <v>7</v>
      </c>
      <c r="BI398" t="s">
        <v>500</v>
      </c>
      <c r="CG398" t="s">
        <v>29</v>
      </c>
      <c r="CH398" t="s">
        <v>273</v>
      </c>
      <c r="CI398">
        <v>64685</v>
      </c>
      <c r="CJ398" t="s">
        <v>500</v>
      </c>
    </row>
    <row r="399" spans="1:88" x14ac:dyDescent="0.25">
      <c r="A399" t="s">
        <v>37</v>
      </c>
      <c r="B399" t="s">
        <v>88</v>
      </c>
      <c r="C399" t="s">
        <v>274</v>
      </c>
      <c r="D399">
        <v>72630</v>
      </c>
      <c r="E399">
        <v>7</v>
      </c>
      <c r="F399" s="24" t="str">
        <f t="shared" si="46"/>
        <v>2024-1</v>
      </c>
      <c r="O399" t="s">
        <v>75</v>
      </c>
      <c r="P399" t="s">
        <v>280</v>
      </c>
      <c r="Q399">
        <v>7</v>
      </c>
      <c r="AA399">
        <v>72630</v>
      </c>
      <c r="AB399" t="s">
        <v>88</v>
      </c>
      <c r="AD399">
        <f t="shared" si="44"/>
        <v>0</v>
      </c>
      <c r="AE399">
        <f t="shared" si="45"/>
        <v>0</v>
      </c>
      <c r="AG399" t="s">
        <v>75</v>
      </c>
      <c r="AH399" t="s">
        <v>280</v>
      </c>
      <c r="BF399" t="s">
        <v>280</v>
      </c>
      <c r="BG399" t="s">
        <v>75</v>
      </c>
      <c r="BH399">
        <v>7</v>
      </c>
      <c r="BI399" t="s">
        <v>500</v>
      </c>
      <c r="CG399" t="s">
        <v>37</v>
      </c>
      <c r="CH399" t="s">
        <v>88</v>
      </c>
      <c r="CI399">
        <v>72630</v>
      </c>
      <c r="CJ399" t="s">
        <v>500</v>
      </c>
    </row>
    <row r="400" spans="1:88" x14ac:dyDescent="0.25">
      <c r="A400" t="s">
        <v>29</v>
      </c>
      <c r="B400" t="s">
        <v>82</v>
      </c>
      <c r="C400" t="s">
        <v>274</v>
      </c>
      <c r="D400">
        <v>96583</v>
      </c>
      <c r="E400">
        <v>4</v>
      </c>
      <c r="F400" s="24" t="str">
        <f t="shared" si="46"/>
        <v>2024-1</v>
      </c>
      <c r="O400" t="s">
        <v>75</v>
      </c>
      <c r="P400" t="s">
        <v>293</v>
      </c>
      <c r="Q400">
        <v>7</v>
      </c>
      <c r="AA400">
        <v>96583</v>
      </c>
      <c r="AB400" t="s">
        <v>82</v>
      </c>
      <c r="AD400">
        <f t="shared" si="44"/>
        <v>0</v>
      </c>
      <c r="AE400">
        <f t="shared" si="45"/>
        <v>0</v>
      </c>
      <c r="AG400" t="s">
        <v>75</v>
      </c>
      <c r="AH400" t="s">
        <v>293</v>
      </c>
      <c r="BF400" t="s">
        <v>293</v>
      </c>
      <c r="BG400" t="s">
        <v>75</v>
      </c>
      <c r="BH400">
        <v>7</v>
      </c>
      <c r="BI400" t="s">
        <v>500</v>
      </c>
      <c r="CG400" t="s">
        <v>29</v>
      </c>
      <c r="CH400" t="s">
        <v>82</v>
      </c>
      <c r="CI400">
        <v>96583</v>
      </c>
      <c r="CJ400" t="s">
        <v>500</v>
      </c>
    </row>
    <row r="401" spans="1:88" x14ac:dyDescent="0.25">
      <c r="A401" t="s">
        <v>5</v>
      </c>
      <c r="B401" t="s">
        <v>83</v>
      </c>
      <c r="C401" t="s">
        <v>274</v>
      </c>
      <c r="D401">
        <v>35174</v>
      </c>
      <c r="E401">
        <v>7</v>
      </c>
      <c r="F401" s="24" t="str">
        <f t="shared" si="46"/>
        <v>2024-1</v>
      </c>
      <c r="O401" t="s">
        <v>14</v>
      </c>
      <c r="P401" t="s">
        <v>116</v>
      </c>
      <c r="Q401">
        <v>4</v>
      </c>
      <c r="AA401">
        <v>35174</v>
      </c>
      <c r="AB401" t="s">
        <v>83</v>
      </c>
      <c r="AD401">
        <f t="shared" si="44"/>
        <v>0</v>
      </c>
      <c r="AE401">
        <f t="shared" si="45"/>
        <v>0</v>
      </c>
      <c r="AG401" t="s">
        <v>14</v>
      </c>
      <c r="AH401" t="s">
        <v>116</v>
      </c>
      <c r="BF401" t="s">
        <v>116</v>
      </c>
      <c r="BG401" t="s">
        <v>14</v>
      </c>
      <c r="BH401">
        <v>4</v>
      </c>
      <c r="BI401" t="s">
        <v>500</v>
      </c>
      <c r="CG401" t="s">
        <v>5</v>
      </c>
      <c r="CH401" t="s">
        <v>83</v>
      </c>
      <c r="CI401">
        <v>35174</v>
      </c>
      <c r="CJ401" t="s">
        <v>500</v>
      </c>
    </row>
    <row r="402" spans="1:88" x14ac:dyDescent="0.25">
      <c r="A402" t="s">
        <v>75</v>
      </c>
      <c r="B402" t="s">
        <v>275</v>
      </c>
      <c r="C402" t="s">
        <v>276</v>
      </c>
      <c r="D402">
        <v>85836</v>
      </c>
      <c r="E402">
        <v>9</v>
      </c>
      <c r="F402" s="24" t="str">
        <f t="shared" si="46"/>
        <v>2024-1</v>
      </c>
      <c r="O402" t="s">
        <v>29</v>
      </c>
      <c r="P402" t="s">
        <v>229</v>
      </c>
      <c r="Q402">
        <v>10</v>
      </c>
      <c r="AA402">
        <v>85836</v>
      </c>
      <c r="AB402" t="s">
        <v>275</v>
      </c>
      <c r="AD402">
        <f t="shared" si="44"/>
        <v>0</v>
      </c>
      <c r="AE402">
        <f t="shared" si="45"/>
        <v>0</v>
      </c>
      <c r="AG402" t="s">
        <v>29</v>
      </c>
      <c r="AH402" t="s">
        <v>229</v>
      </c>
      <c r="BF402" t="s">
        <v>229</v>
      </c>
      <c r="BG402" t="s">
        <v>29</v>
      </c>
      <c r="BH402">
        <v>10</v>
      </c>
      <c r="BI402" t="s">
        <v>500</v>
      </c>
      <c r="CG402" t="s">
        <v>75</v>
      </c>
      <c r="CH402" t="s">
        <v>275</v>
      </c>
      <c r="CI402">
        <v>85836</v>
      </c>
      <c r="CJ402" t="s">
        <v>500</v>
      </c>
    </row>
    <row r="403" spans="1:88" x14ac:dyDescent="0.25">
      <c r="A403" t="s">
        <v>35</v>
      </c>
      <c r="B403" t="s">
        <v>213</v>
      </c>
      <c r="C403" t="s">
        <v>277</v>
      </c>
      <c r="D403">
        <v>52745</v>
      </c>
      <c r="E403">
        <v>9</v>
      </c>
      <c r="F403" s="24" t="str">
        <f t="shared" si="46"/>
        <v>2024-1</v>
      </c>
      <c r="O403" t="s">
        <v>29</v>
      </c>
      <c r="P403" t="s">
        <v>18</v>
      </c>
      <c r="Q403">
        <v>4</v>
      </c>
      <c r="AA403">
        <v>52745</v>
      </c>
      <c r="AB403" t="s">
        <v>213</v>
      </c>
      <c r="AD403">
        <f t="shared" si="44"/>
        <v>0</v>
      </c>
      <c r="AE403">
        <f t="shared" si="45"/>
        <v>0</v>
      </c>
      <c r="AG403" t="s">
        <v>29</v>
      </c>
      <c r="AH403" t="s">
        <v>18</v>
      </c>
      <c r="BF403" t="s">
        <v>18</v>
      </c>
      <c r="BG403" t="s">
        <v>29</v>
      </c>
      <c r="BH403">
        <v>4</v>
      </c>
      <c r="BI403" t="s">
        <v>500</v>
      </c>
      <c r="CG403" t="s">
        <v>35</v>
      </c>
      <c r="CH403" t="s">
        <v>213</v>
      </c>
      <c r="CI403">
        <v>52745</v>
      </c>
      <c r="CJ403" t="s">
        <v>500</v>
      </c>
    </row>
    <row r="404" spans="1:88" x14ac:dyDescent="0.25">
      <c r="A404" t="s">
        <v>14</v>
      </c>
      <c r="B404" t="s">
        <v>90</v>
      </c>
      <c r="C404" t="s">
        <v>278</v>
      </c>
      <c r="D404">
        <v>28500</v>
      </c>
      <c r="E404">
        <v>10</v>
      </c>
      <c r="F404" s="24" t="str">
        <f t="shared" si="46"/>
        <v>2024-1</v>
      </c>
      <c r="O404" t="s">
        <v>75</v>
      </c>
      <c r="P404" t="s">
        <v>82</v>
      </c>
      <c r="Q404">
        <v>6</v>
      </c>
      <c r="AA404">
        <v>28500</v>
      </c>
      <c r="AB404" t="s">
        <v>90</v>
      </c>
      <c r="AD404">
        <f t="shared" si="44"/>
        <v>0</v>
      </c>
      <c r="AE404">
        <f t="shared" si="45"/>
        <v>0</v>
      </c>
      <c r="AG404" t="s">
        <v>75</v>
      </c>
      <c r="AH404" t="s">
        <v>82</v>
      </c>
      <c r="BF404" t="s">
        <v>82</v>
      </c>
      <c r="BG404" t="s">
        <v>75</v>
      </c>
      <c r="BH404">
        <v>6</v>
      </c>
      <c r="BI404" t="s">
        <v>500</v>
      </c>
      <c r="CG404" t="s">
        <v>14</v>
      </c>
      <c r="CH404" t="s">
        <v>90</v>
      </c>
      <c r="CI404">
        <v>28500</v>
      </c>
      <c r="CJ404" t="s">
        <v>500</v>
      </c>
    </row>
    <row r="405" spans="1:88" x14ac:dyDescent="0.25">
      <c r="A405" t="s">
        <v>8</v>
      </c>
      <c r="B405" t="s">
        <v>160</v>
      </c>
      <c r="C405" t="s">
        <v>279</v>
      </c>
      <c r="D405">
        <v>95927</v>
      </c>
      <c r="E405">
        <v>10</v>
      </c>
      <c r="F405" s="24" t="str">
        <f t="shared" si="46"/>
        <v>2024-1</v>
      </c>
      <c r="O405" t="s">
        <v>8</v>
      </c>
      <c r="P405" t="s">
        <v>295</v>
      </c>
      <c r="Q405">
        <v>7</v>
      </c>
      <c r="AA405">
        <v>95927</v>
      </c>
      <c r="AB405" t="s">
        <v>160</v>
      </c>
      <c r="AD405">
        <f t="shared" si="44"/>
        <v>0</v>
      </c>
      <c r="AE405">
        <f t="shared" si="45"/>
        <v>0</v>
      </c>
      <c r="AG405" t="s">
        <v>8</v>
      </c>
      <c r="AH405" t="s">
        <v>295</v>
      </c>
      <c r="BF405" t="s">
        <v>295</v>
      </c>
      <c r="BG405" t="s">
        <v>8</v>
      </c>
      <c r="BH405">
        <v>7</v>
      </c>
      <c r="BI405" t="s">
        <v>501</v>
      </c>
      <c r="CG405" t="s">
        <v>8</v>
      </c>
      <c r="CH405" t="s">
        <v>160</v>
      </c>
      <c r="CI405">
        <v>95927</v>
      </c>
      <c r="CJ405" t="s">
        <v>500</v>
      </c>
    </row>
    <row r="406" spans="1:88" x14ac:dyDescent="0.25">
      <c r="A406" t="s">
        <v>8</v>
      </c>
      <c r="B406" t="s">
        <v>17</v>
      </c>
      <c r="C406" t="s">
        <v>279</v>
      </c>
      <c r="D406">
        <v>10107</v>
      </c>
      <c r="E406">
        <v>9</v>
      </c>
      <c r="F406" s="24" t="str">
        <f t="shared" si="46"/>
        <v>2024-1</v>
      </c>
      <c r="O406" t="s">
        <v>14</v>
      </c>
      <c r="P406" t="s">
        <v>159</v>
      </c>
      <c r="Q406">
        <v>7</v>
      </c>
      <c r="AA406">
        <v>10107</v>
      </c>
      <c r="AB406" t="s">
        <v>17</v>
      </c>
      <c r="AD406">
        <f t="shared" si="44"/>
        <v>0</v>
      </c>
      <c r="AE406">
        <f t="shared" si="45"/>
        <v>0</v>
      </c>
      <c r="AG406" t="s">
        <v>14</v>
      </c>
      <c r="AH406" t="s">
        <v>159</v>
      </c>
      <c r="BF406" t="s">
        <v>159</v>
      </c>
      <c r="BG406" t="s">
        <v>14</v>
      </c>
      <c r="BH406">
        <v>7</v>
      </c>
      <c r="BI406" t="s">
        <v>501</v>
      </c>
      <c r="CG406" t="s">
        <v>8</v>
      </c>
      <c r="CH406" t="s">
        <v>17</v>
      </c>
      <c r="CI406">
        <v>10107</v>
      </c>
      <c r="CJ406" t="s">
        <v>500</v>
      </c>
    </row>
    <row r="407" spans="1:88" x14ac:dyDescent="0.25">
      <c r="A407" t="s">
        <v>55</v>
      </c>
      <c r="B407" t="s">
        <v>280</v>
      </c>
      <c r="C407" t="s">
        <v>279</v>
      </c>
      <c r="D407">
        <v>64080</v>
      </c>
      <c r="E407">
        <v>2</v>
      </c>
      <c r="F407" s="24" t="str">
        <f t="shared" si="46"/>
        <v>2024-1</v>
      </c>
      <c r="O407" t="s">
        <v>14</v>
      </c>
      <c r="P407" t="s">
        <v>297</v>
      </c>
      <c r="Q407">
        <v>8</v>
      </c>
      <c r="AA407">
        <v>64080</v>
      </c>
      <c r="AB407" t="s">
        <v>280</v>
      </c>
      <c r="AD407">
        <f t="shared" si="44"/>
        <v>0</v>
      </c>
      <c r="AE407">
        <f t="shared" si="45"/>
        <v>0</v>
      </c>
      <c r="AG407" t="s">
        <v>14</v>
      </c>
      <c r="AH407" t="s">
        <v>297</v>
      </c>
      <c r="BF407" t="s">
        <v>297</v>
      </c>
      <c r="BG407" t="s">
        <v>14</v>
      </c>
      <c r="BH407">
        <v>8</v>
      </c>
      <c r="BI407" t="s">
        <v>501</v>
      </c>
      <c r="CG407" t="s">
        <v>55</v>
      </c>
      <c r="CH407" t="s">
        <v>280</v>
      </c>
      <c r="CI407">
        <v>64080</v>
      </c>
      <c r="CJ407" t="s">
        <v>500</v>
      </c>
    </row>
    <row r="408" spans="1:88" x14ac:dyDescent="0.25">
      <c r="A408" t="s">
        <v>10</v>
      </c>
      <c r="B408" t="s">
        <v>6</v>
      </c>
      <c r="C408" t="s">
        <v>279</v>
      </c>
      <c r="D408">
        <v>82415</v>
      </c>
      <c r="E408">
        <v>8</v>
      </c>
      <c r="F408" s="24" t="str">
        <f t="shared" si="46"/>
        <v>2024-1</v>
      </c>
      <c r="O408" t="s">
        <v>37</v>
      </c>
      <c r="P408" t="s">
        <v>183</v>
      </c>
      <c r="Q408">
        <v>9</v>
      </c>
      <c r="AA408">
        <v>82415</v>
      </c>
      <c r="AB408" t="s">
        <v>6</v>
      </c>
      <c r="AD408">
        <f t="shared" si="44"/>
        <v>0</v>
      </c>
      <c r="AE408">
        <f t="shared" si="45"/>
        <v>0</v>
      </c>
      <c r="AG408" t="s">
        <v>37</v>
      </c>
      <c r="AH408" t="s">
        <v>183</v>
      </c>
      <c r="BF408" t="s">
        <v>183</v>
      </c>
      <c r="BG408" t="s">
        <v>37</v>
      </c>
      <c r="BH408">
        <v>9</v>
      </c>
      <c r="BI408" t="s">
        <v>501</v>
      </c>
      <c r="CG408" t="s">
        <v>10</v>
      </c>
      <c r="CH408" t="s">
        <v>6</v>
      </c>
      <c r="CI408">
        <v>82415</v>
      </c>
      <c r="CJ408" t="s">
        <v>500</v>
      </c>
    </row>
    <row r="409" spans="1:88" x14ac:dyDescent="0.25">
      <c r="A409" t="s">
        <v>29</v>
      </c>
      <c r="B409" t="s">
        <v>192</v>
      </c>
      <c r="C409" t="s">
        <v>279</v>
      </c>
      <c r="D409">
        <v>52966</v>
      </c>
      <c r="E409">
        <v>5</v>
      </c>
      <c r="F409" s="24" t="str">
        <f t="shared" si="46"/>
        <v>2024-1</v>
      </c>
      <c r="O409" t="s">
        <v>14</v>
      </c>
      <c r="P409" t="s">
        <v>31</v>
      </c>
      <c r="Q409">
        <v>4</v>
      </c>
      <c r="AA409">
        <v>52966</v>
      </c>
      <c r="AB409" t="s">
        <v>192</v>
      </c>
      <c r="AD409">
        <f t="shared" si="44"/>
        <v>0</v>
      </c>
      <c r="AE409">
        <f t="shared" si="45"/>
        <v>0</v>
      </c>
      <c r="AG409" t="s">
        <v>14</v>
      </c>
      <c r="AH409" t="s">
        <v>31</v>
      </c>
      <c r="BF409" t="s">
        <v>31</v>
      </c>
      <c r="BG409" t="s">
        <v>14</v>
      </c>
      <c r="BH409">
        <v>4</v>
      </c>
      <c r="BI409" t="s">
        <v>501</v>
      </c>
      <c r="CG409" t="s">
        <v>29</v>
      </c>
      <c r="CH409" t="s">
        <v>192</v>
      </c>
      <c r="CI409">
        <v>52966</v>
      </c>
      <c r="CJ409" t="s">
        <v>500</v>
      </c>
    </row>
    <row r="410" spans="1:88" x14ac:dyDescent="0.25">
      <c r="A410" t="s">
        <v>29</v>
      </c>
      <c r="B410" t="s">
        <v>178</v>
      </c>
      <c r="C410" t="s">
        <v>279</v>
      </c>
      <c r="D410">
        <v>50979</v>
      </c>
      <c r="E410">
        <v>3</v>
      </c>
      <c r="F410" s="24" t="str">
        <f t="shared" si="46"/>
        <v>2024-1</v>
      </c>
      <c r="O410" t="s">
        <v>53</v>
      </c>
      <c r="P410" t="s">
        <v>87</v>
      </c>
      <c r="Q410">
        <v>7</v>
      </c>
      <c r="AA410">
        <v>50979</v>
      </c>
      <c r="AB410" t="s">
        <v>178</v>
      </c>
      <c r="AD410">
        <f t="shared" si="44"/>
        <v>0</v>
      </c>
      <c r="AE410">
        <f t="shared" si="45"/>
        <v>0</v>
      </c>
      <c r="AG410" t="s">
        <v>53</v>
      </c>
      <c r="AH410" t="s">
        <v>87</v>
      </c>
      <c r="BF410" t="s">
        <v>87</v>
      </c>
      <c r="BG410" t="s">
        <v>53</v>
      </c>
      <c r="BH410">
        <v>7</v>
      </c>
      <c r="BI410" t="s">
        <v>501</v>
      </c>
      <c r="CG410" t="s">
        <v>29</v>
      </c>
      <c r="CH410" t="s">
        <v>178</v>
      </c>
      <c r="CI410">
        <v>50979</v>
      </c>
      <c r="CJ410" t="s">
        <v>500</v>
      </c>
    </row>
    <row r="411" spans="1:88" x14ac:dyDescent="0.25">
      <c r="A411" t="s">
        <v>16</v>
      </c>
      <c r="B411" t="s">
        <v>18</v>
      </c>
      <c r="C411" t="s">
        <v>279</v>
      </c>
      <c r="D411">
        <v>57360</v>
      </c>
      <c r="E411">
        <v>8</v>
      </c>
      <c r="F411" s="24" t="str">
        <f t="shared" si="46"/>
        <v>2024-1</v>
      </c>
      <c r="O411" t="s">
        <v>35</v>
      </c>
      <c r="P411" t="s">
        <v>138</v>
      </c>
      <c r="Q411">
        <v>3</v>
      </c>
      <c r="AA411">
        <v>57360</v>
      </c>
      <c r="AB411" t="s">
        <v>18</v>
      </c>
      <c r="AD411">
        <f t="shared" si="44"/>
        <v>0</v>
      </c>
      <c r="AE411">
        <f t="shared" si="45"/>
        <v>0</v>
      </c>
      <c r="AG411" t="s">
        <v>35</v>
      </c>
      <c r="AH411" t="s">
        <v>138</v>
      </c>
      <c r="BF411" t="s">
        <v>138</v>
      </c>
      <c r="BG411" t="s">
        <v>35</v>
      </c>
      <c r="BH411">
        <v>3</v>
      </c>
      <c r="BI411" t="s">
        <v>501</v>
      </c>
      <c r="CG411" t="s">
        <v>16</v>
      </c>
      <c r="CH411" t="s">
        <v>18</v>
      </c>
      <c r="CI411">
        <v>57360</v>
      </c>
      <c r="CJ411" t="s">
        <v>500</v>
      </c>
    </row>
    <row r="412" spans="1:88" x14ac:dyDescent="0.25">
      <c r="A412" t="s">
        <v>29</v>
      </c>
      <c r="B412" t="s">
        <v>220</v>
      </c>
      <c r="C412" t="s">
        <v>279</v>
      </c>
      <c r="D412">
        <v>41566</v>
      </c>
      <c r="E412">
        <v>2</v>
      </c>
      <c r="F412" s="24" t="str">
        <f t="shared" si="46"/>
        <v>2024-1</v>
      </c>
      <c r="O412" t="s">
        <v>75</v>
      </c>
      <c r="P412" t="s">
        <v>297</v>
      </c>
      <c r="Q412">
        <v>6</v>
      </c>
      <c r="AA412">
        <v>41566</v>
      </c>
      <c r="AB412" t="s">
        <v>220</v>
      </c>
      <c r="AD412">
        <f t="shared" si="44"/>
        <v>0</v>
      </c>
      <c r="AE412">
        <f t="shared" si="45"/>
        <v>0</v>
      </c>
      <c r="AG412" t="s">
        <v>75</v>
      </c>
      <c r="AH412" t="s">
        <v>297</v>
      </c>
      <c r="BF412" t="s">
        <v>297</v>
      </c>
      <c r="BG412" t="s">
        <v>75</v>
      </c>
      <c r="BH412">
        <v>6</v>
      </c>
      <c r="BI412" t="s">
        <v>501</v>
      </c>
      <c r="CG412" t="s">
        <v>29</v>
      </c>
      <c r="CH412" t="s">
        <v>220</v>
      </c>
      <c r="CI412">
        <v>41566</v>
      </c>
      <c r="CJ412" t="s">
        <v>500</v>
      </c>
    </row>
    <row r="413" spans="1:88" x14ac:dyDescent="0.25">
      <c r="A413" t="s">
        <v>55</v>
      </c>
      <c r="B413" t="s">
        <v>281</v>
      </c>
      <c r="C413" t="s">
        <v>279</v>
      </c>
      <c r="D413">
        <v>39930</v>
      </c>
      <c r="E413">
        <v>6</v>
      </c>
      <c r="F413" s="24" t="str">
        <f t="shared" si="46"/>
        <v>2024-1</v>
      </c>
      <c r="O413" t="s">
        <v>8</v>
      </c>
      <c r="P413" t="s">
        <v>300</v>
      </c>
      <c r="Q413">
        <v>5</v>
      </c>
      <c r="AA413">
        <v>39930</v>
      </c>
      <c r="AB413" t="s">
        <v>281</v>
      </c>
      <c r="AD413">
        <f t="shared" si="44"/>
        <v>0</v>
      </c>
      <c r="AE413">
        <f t="shared" si="45"/>
        <v>0</v>
      </c>
      <c r="AG413" t="s">
        <v>8</v>
      </c>
      <c r="AH413" t="s">
        <v>300</v>
      </c>
      <c r="BF413" t="s">
        <v>300</v>
      </c>
      <c r="BG413" t="s">
        <v>8</v>
      </c>
      <c r="BH413">
        <v>5</v>
      </c>
      <c r="BI413" t="s">
        <v>501</v>
      </c>
      <c r="CG413" t="s">
        <v>55</v>
      </c>
      <c r="CH413" t="s">
        <v>281</v>
      </c>
      <c r="CI413">
        <v>39930</v>
      </c>
      <c r="CJ413" t="s">
        <v>500</v>
      </c>
    </row>
    <row r="414" spans="1:88" x14ac:dyDescent="0.25">
      <c r="A414" t="s">
        <v>21</v>
      </c>
      <c r="B414" t="s">
        <v>44</v>
      </c>
      <c r="C414" t="s">
        <v>279</v>
      </c>
      <c r="D414">
        <v>68634</v>
      </c>
      <c r="E414">
        <v>8</v>
      </c>
      <c r="F414" s="24" t="str">
        <f t="shared" si="46"/>
        <v>2024-1</v>
      </c>
      <c r="O414" t="s">
        <v>21</v>
      </c>
      <c r="P414" t="s">
        <v>301</v>
      </c>
      <c r="Q414">
        <v>7</v>
      </c>
      <c r="AA414">
        <v>68634</v>
      </c>
      <c r="AB414" t="s">
        <v>44</v>
      </c>
      <c r="AD414">
        <f t="shared" si="44"/>
        <v>0</v>
      </c>
      <c r="AE414">
        <f t="shared" si="45"/>
        <v>0</v>
      </c>
      <c r="AG414" t="s">
        <v>21</v>
      </c>
      <c r="AH414" t="s">
        <v>301</v>
      </c>
      <c r="BF414" t="s">
        <v>301</v>
      </c>
      <c r="BG414" t="s">
        <v>21</v>
      </c>
      <c r="BH414">
        <v>7</v>
      </c>
      <c r="BI414" t="s">
        <v>501</v>
      </c>
      <c r="CG414" t="s">
        <v>21</v>
      </c>
      <c r="CH414" t="s">
        <v>44</v>
      </c>
      <c r="CI414">
        <v>68634</v>
      </c>
      <c r="CJ414" t="s">
        <v>500</v>
      </c>
    </row>
    <row r="415" spans="1:88" x14ac:dyDescent="0.25">
      <c r="A415" t="s">
        <v>35</v>
      </c>
      <c r="B415" t="s">
        <v>160</v>
      </c>
      <c r="C415" t="s">
        <v>279</v>
      </c>
      <c r="D415">
        <v>32027</v>
      </c>
      <c r="E415">
        <v>8</v>
      </c>
      <c r="F415" s="24" t="str">
        <f t="shared" si="46"/>
        <v>2024-1</v>
      </c>
      <c r="O415" t="s">
        <v>35</v>
      </c>
      <c r="P415" t="s">
        <v>82</v>
      </c>
      <c r="Q415">
        <v>4</v>
      </c>
      <c r="AA415">
        <v>32027</v>
      </c>
      <c r="AB415" t="s">
        <v>160</v>
      </c>
      <c r="AD415">
        <f t="shared" si="44"/>
        <v>0</v>
      </c>
      <c r="AE415">
        <f t="shared" si="45"/>
        <v>0</v>
      </c>
      <c r="AG415" t="s">
        <v>35</v>
      </c>
      <c r="AH415" t="s">
        <v>82</v>
      </c>
      <c r="BF415" t="s">
        <v>82</v>
      </c>
      <c r="BG415" t="s">
        <v>35</v>
      </c>
      <c r="BH415">
        <v>4</v>
      </c>
      <c r="BI415" t="s">
        <v>501</v>
      </c>
      <c r="CG415" t="s">
        <v>35</v>
      </c>
      <c r="CH415" t="s">
        <v>160</v>
      </c>
      <c r="CI415">
        <v>32027</v>
      </c>
      <c r="CJ415" t="s">
        <v>500</v>
      </c>
    </row>
    <row r="416" spans="1:88" x14ac:dyDescent="0.25">
      <c r="A416" t="s">
        <v>5</v>
      </c>
      <c r="B416" t="s">
        <v>188</v>
      </c>
      <c r="C416" t="s">
        <v>279</v>
      </c>
      <c r="D416">
        <v>90066</v>
      </c>
      <c r="E416">
        <v>7</v>
      </c>
      <c r="F416" s="24" t="str">
        <f t="shared" si="46"/>
        <v>2024-1</v>
      </c>
      <c r="O416" t="s">
        <v>21</v>
      </c>
      <c r="P416" t="s">
        <v>249</v>
      </c>
      <c r="Q416">
        <v>8</v>
      </c>
      <c r="AA416">
        <v>90066</v>
      </c>
      <c r="AB416" t="s">
        <v>188</v>
      </c>
      <c r="AD416">
        <f t="shared" si="44"/>
        <v>0</v>
      </c>
      <c r="AE416">
        <f t="shared" si="45"/>
        <v>0</v>
      </c>
      <c r="AG416" t="s">
        <v>21</v>
      </c>
      <c r="AH416" t="s">
        <v>249</v>
      </c>
      <c r="BF416" t="s">
        <v>249</v>
      </c>
      <c r="BG416" t="s">
        <v>21</v>
      </c>
      <c r="BH416">
        <v>8</v>
      </c>
      <c r="BI416" t="s">
        <v>501</v>
      </c>
      <c r="CG416" t="s">
        <v>5</v>
      </c>
      <c r="CH416" t="s">
        <v>188</v>
      </c>
      <c r="CI416">
        <v>90066</v>
      </c>
      <c r="CJ416" t="s">
        <v>500</v>
      </c>
    </row>
    <row r="417" spans="1:88" x14ac:dyDescent="0.25">
      <c r="A417" t="s">
        <v>55</v>
      </c>
      <c r="B417" t="s">
        <v>72</v>
      </c>
      <c r="C417" t="s">
        <v>282</v>
      </c>
      <c r="D417">
        <v>13943</v>
      </c>
      <c r="E417">
        <v>5</v>
      </c>
      <c r="F417" s="24" t="str">
        <f t="shared" si="46"/>
        <v>2024-1</v>
      </c>
      <c r="O417" t="s">
        <v>75</v>
      </c>
      <c r="P417" t="s">
        <v>45</v>
      </c>
      <c r="Q417">
        <v>6</v>
      </c>
      <c r="AA417">
        <v>13943</v>
      </c>
      <c r="AB417" t="s">
        <v>72</v>
      </c>
      <c r="AD417">
        <f t="shared" si="44"/>
        <v>0</v>
      </c>
      <c r="AE417">
        <f t="shared" si="45"/>
        <v>0</v>
      </c>
      <c r="AG417" t="s">
        <v>75</v>
      </c>
      <c r="AH417" t="s">
        <v>45</v>
      </c>
      <c r="BF417" t="s">
        <v>45</v>
      </c>
      <c r="BG417" t="s">
        <v>75</v>
      </c>
      <c r="BH417">
        <v>6</v>
      </c>
      <c r="BI417" t="s">
        <v>501</v>
      </c>
      <c r="CG417" t="s">
        <v>55</v>
      </c>
      <c r="CH417" t="s">
        <v>72</v>
      </c>
      <c r="CI417">
        <v>13943</v>
      </c>
      <c r="CJ417" t="s">
        <v>500</v>
      </c>
    </row>
    <row r="418" spans="1:88" x14ac:dyDescent="0.25">
      <c r="A418" t="s">
        <v>8</v>
      </c>
      <c r="B418" t="s">
        <v>22</v>
      </c>
      <c r="C418" t="s">
        <v>283</v>
      </c>
      <c r="D418">
        <v>76898</v>
      </c>
      <c r="E418">
        <v>6</v>
      </c>
      <c r="F418" s="24" t="str">
        <f t="shared" si="46"/>
        <v>2024-1</v>
      </c>
      <c r="O418" t="s">
        <v>55</v>
      </c>
      <c r="P418" t="s">
        <v>142</v>
      </c>
      <c r="Q418">
        <v>7</v>
      </c>
      <c r="AA418">
        <v>76898</v>
      </c>
      <c r="AB418" t="s">
        <v>22</v>
      </c>
      <c r="AD418">
        <f t="shared" si="44"/>
        <v>0</v>
      </c>
      <c r="AE418">
        <f t="shared" si="45"/>
        <v>0</v>
      </c>
      <c r="AG418" t="s">
        <v>55</v>
      </c>
      <c r="AH418" t="s">
        <v>142</v>
      </c>
      <c r="BF418" t="s">
        <v>142</v>
      </c>
      <c r="BG418" t="s">
        <v>55</v>
      </c>
      <c r="BH418">
        <v>7</v>
      </c>
      <c r="BI418" t="s">
        <v>501</v>
      </c>
      <c r="CG418" t="s">
        <v>8</v>
      </c>
      <c r="CH418" t="s">
        <v>22</v>
      </c>
      <c r="CI418">
        <v>76898</v>
      </c>
      <c r="CJ418" t="s">
        <v>500</v>
      </c>
    </row>
    <row r="419" spans="1:88" x14ac:dyDescent="0.25">
      <c r="A419" t="s">
        <v>5</v>
      </c>
      <c r="B419" t="s">
        <v>95</v>
      </c>
      <c r="C419" t="s">
        <v>283</v>
      </c>
      <c r="D419">
        <v>29200</v>
      </c>
      <c r="E419">
        <v>9</v>
      </c>
      <c r="F419" s="24" t="str">
        <f t="shared" si="46"/>
        <v>2024-1</v>
      </c>
      <c r="O419" t="s">
        <v>10</v>
      </c>
      <c r="P419" t="s">
        <v>152</v>
      </c>
      <c r="Q419">
        <v>0</v>
      </c>
      <c r="AA419">
        <v>29200</v>
      </c>
      <c r="AB419" t="s">
        <v>95</v>
      </c>
      <c r="AD419">
        <f t="shared" si="44"/>
        <v>0</v>
      </c>
      <c r="AE419">
        <f t="shared" si="45"/>
        <v>0</v>
      </c>
      <c r="AG419" t="s">
        <v>10</v>
      </c>
      <c r="AH419" t="s">
        <v>152</v>
      </c>
      <c r="BF419" t="s">
        <v>152</v>
      </c>
      <c r="BG419" t="s">
        <v>10</v>
      </c>
      <c r="BH419">
        <v>0</v>
      </c>
      <c r="BI419" t="s">
        <v>501</v>
      </c>
      <c r="CG419" t="s">
        <v>5</v>
      </c>
      <c r="CH419" t="s">
        <v>95</v>
      </c>
      <c r="CI419">
        <v>29200</v>
      </c>
      <c r="CJ419" t="s">
        <v>500</v>
      </c>
    </row>
    <row r="420" spans="1:88" x14ac:dyDescent="0.25">
      <c r="A420" t="s">
        <v>75</v>
      </c>
      <c r="B420" t="s">
        <v>17</v>
      </c>
      <c r="C420" t="s">
        <v>283</v>
      </c>
      <c r="D420">
        <v>62836</v>
      </c>
      <c r="E420">
        <v>8</v>
      </c>
      <c r="F420" s="24" t="str">
        <f t="shared" si="46"/>
        <v>2024-1</v>
      </c>
      <c r="O420" t="s">
        <v>53</v>
      </c>
      <c r="P420" t="s">
        <v>58</v>
      </c>
      <c r="Q420">
        <v>7</v>
      </c>
      <c r="AA420">
        <v>62836</v>
      </c>
      <c r="AB420" t="s">
        <v>17</v>
      </c>
      <c r="AD420">
        <f t="shared" si="44"/>
        <v>0</v>
      </c>
      <c r="AE420">
        <f t="shared" si="45"/>
        <v>0</v>
      </c>
      <c r="AG420" t="s">
        <v>53</v>
      </c>
      <c r="AH420" t="s">
        <v>58</v>
      </c>
      <c r="BF420" t="s">
        <v>58</v>
      </c>
      <c r="BG420" t="s">
        <v>53</v>
      </c>
      <c r="BH420">
        <v>7</v>
      </c>
      <c r="BI420" t="s">
        <v>501</v>
      </c>
      <c r="CG420" t="s">
        <v>75</v>
      </c>
      <c r="CH420" t="s">
        <v>17</v>
      </c>
      <c r="CI420">
        <v>62836</v>
      </c>
      <c r="CJ420" t="s">
        <v>500</v>
      </c>
    </row>
    <row r="421" spans="1:88" x14ac:dyDescent="0.25">
      <c r="A421" t="s">
        <v>37</v>
      </c>
      <c r="B421" t="s">
        <v>284</v>
      </c>
      <c r="C421" t="s">
        <v>285</v>
      </c>
      <c r="D421">
        <v>94292</v>
      </c>
      <c r="E421">
        <v>10</v>
      </c>
      <c r="F421" s="24" t="str">
        <f t="shared" si="46"/>
        <v>2024-1</v>
      </c>
      <c r="O421" t="s">
        <v>21</v>
      </c>
      <c r="P421" t="s">
        <v>160</v>
      </c>
      <c r="Q421">
        <v>5</v>
      </c>
      <c r="AA421">
        <v>94292</v>
      </c>
      <c r="AB421" t="s">
        <v>284</v>
      </c>
      <c r="AD421">
        <f t="shared" si="44"/>
        <v>0</v>
      </c>
      <c r="AE421">
        <f t="shared" si="45"/>
        <v>0</v>
      </c>
      <c r="AG421" t="s">
        <v>21</v>
      </c>
      <c r="AH421" t="s">
        <v>160</v>
      </c>
      <c r="BF421" t="s">
        <v>160</v>
      </c>
      <c r="BG421" t="s">
        <v>21</v>
      </c>
      <c r="BH421">
        <v>5</v>
      </c>
      <c r="BI421" t="s">
        <v>501</v>
      </c>
      <c r="CG421" t="s">
        <v>37</v>
      </c>
      <c r="CH421" t="s">
        <v>284</v>
      </c>
      <c r="CI421">
        <v>94292</v>
      </c>
      <c r="CJ421" t="s">
        <v>500</v>
      </c>
    </row>
    <row r="422" spans="1:88" x14ac:dyDescent="0.25">
      <c r="A422" t="s">
        <v>10</v>
      </c>
      <c r="B422" t="s">
        <v>249</v>
      </c>
      <c r="C422" t="s">
        <v>286</v>
      </c>
      <c r="D422">
        <v>52167</v>
      </c>
      <c r="E422">
        <v>2</v>
      </c>
      <c r="F422" s="24" t="str">
        <f t="shared" si="46"/>
        <v>2024-1</v>
      </c>
      <c r="O422" t="s">
        <v>14</v>
      </c>
      <c r="P422" t="s">
        <v>69</v>
      </c>
      <c r="Q422">
        <v>7</v>
      </c>
      <c r="AA422">
        <v>52167</v>
      </c>
      <c r="AB422" t="s">
        <v>249</v>
      </c>
      <c r="AD422">
        <f t="shared" si="44"/>
        <v>0</v>
      </c>
      <c r="AE422">
        <f t="shared" si="45"/>
        <v>0</v>
      </c>
      <c r="AG422" t="s">
        <v>14</v>
      </c>
      <c r="AH422" t="s">
        <v>69</v>
      </c>
      <c r="BF422" t="s">
        <v>69</v>
      </c>
      <c r="BG422" t="s">
        <v>14</v>
      </c>
      <c r="BH422">
        <v>7</v>
      </c>
      <c r="BI422" t="s">
        <v>501</v>
      </c>
      <c r="CG422" t="s">
        <v>10</v>
      </c>
      <c r="CH422" t="s">
        <v>249</v>
      </c>
      <c r="CI422">
        <v>52167</v>
      </c>
      <c r="CJ422" t="s">
        <v>500</v>
      </c>
    </row>
    <row r="423" spans="1:88" x14ac:dyDescent="0.25">
      <c r="A423" t="s">
        <v>5</v>
      </c>
      <c r="B423" t="s">
        <v>116</v>
      </c>
      <c r="C423" t="s">
        <v>286</v>
      </c>
      <c r="D423">
        <v>32275</v>
      </c>
      <c r="E423">
        <v>4</v>
      </c>
      <c r="F423" s="24" t="str">
        <f t="shared" si="46"/>
        <v>2024-1</v>
      </c>
      <c r="O423" t="s">
        <v>14</v>
      </c>
      <c r="P423" t="s">
        <v>171</v>
      </c>
      <c r="Q423">
        <v>10</v>
      </c>
      <c r="AA423">
        <v>32275</v>
      </c>
      <c r="AB423" t="s">
        <v>116</v>
      </c>
      <c r="AD423">
        <f t="shared" si="44"/>
        <v>0</v>
      </c>
      <c r="AE423">
        <f t="shared" si="45"/>
        <v>0</v>
      </c>
      <c r="AG423" t="s">
        <v>14</v>
      </c>
      <c r="AH423" t="s">
        <v>171</v>
      </c>
      <c r="BF423" t="s">
        <v>171</v>
      </c>
      <c r="BG423" t="s">
        <v>14</v>
      </c>
      <c r="BH423">
        <v>10</v>
      </c>
      <c r="BI423" t="s">
        <v>501</v>
      </c>
      <c r="CG423" t="s">
        <v>5</v>
      </c>
      <c r="CH423" t="s">
        <v>116</v>
      </c>
      <c r="CI423">
        <v>32275</v>
      </c>
      <c r="CJ423" t="s">
        <v>500</v>
      </c>
    </row>
    <row r="424" spans="1:88" x14ac:dyDescent="0.25">
      <c r="A424" t="s">
        <v>8</v>
      </c>
      <c r="B424" t="s">
        <v>121</v>
      </c>
      <c r="C424" t="s">
        <v>286</v>
      </c>
      <c r="D424">
        <v>97103</v>
      </c>
      <c r="E424">
        <v>10</v>
      </c>
      <c r="F424" s="24" t="str">
        <f t="shared" si="46"/>
        <v>2024-1</v>
      </c>
      <c r="O424" t="s">
        <v>29</v>
      </c>
      <c r="P424" t="s">
        <v>305</v>
      </c>
      <c r="Q424">
        <v>2</v>
      </c>
      <c r="AA424">
        <v>97103</v>
      </c>
      <c r="AB424" t="s">
        <v>121</v>
      </c>
      <c r="AD424">
        <f t="shared" si="44"/>
        <v>0</v>
      </c>
      <c r="AE424">
        <f t="shared" si="45"/>
        <v>0</v>
      </c>
      <c r="AG424" t="s">
        <v>29</v>
      </c>
      <c r="AH424" t="s">
        <v>305</v>
      </c>
      <c r="BF424" t="s">
        <v>305</v>
      </c>
      <c r="BG424" t="s">
        <v>29</v>
      </c>
      <c r="BH424">
        <v>2</v>
      </c>
      <c r="BI424" t="s">
        <v>501</v>
      </c>
      <c r="CG424" t="s">
        <v>8</v>
      </c>
      <c r="CH424" t="s">
        <v>121</v>
      </c>
      <c r="CI424">
        <v>97103</v>
      </c>
      <c r="CJ424" t="s">
        <v>500</v>
      </c>
    </row>
    <row r="425" spans="1:88" x14ac:dyDescent="0.25">
      <c r="A425" t="s">
        <v>16</v>
      </c>
      <c r="B425" t="s">
        <v>287</v>
      </c>
      <c r="C425" t="s">
        <v>286</v>
      </c>
      <c r="D425">
        <v>60258</v>
      </c>
      <c r="E425">
        <v>6</v>
      </c>
      <c r="F425" s="24" t="str">
        <f t="shared" si="46"/>
        <v>2024-1</v>
      </c>
      <c r="O425" t="s">
        <v>35</v>
      </c>
      <c r="P425" t="s">
        <v>306</v>
      </c>
      <c r="Q425">
        <v>10</v>
      </c>
      <c r="AA425">
        <v>60258</v>
      </c>
      <c r="AB425" t="s">
        <v>287</v>
      </c>
      <c r="AD425">
        <f t="shared" si="44"/>
        <v>0</v>
      </c>
      <c r="AE425">
        <f t="shared" si="45"/>
        <v>0</v>
      </c>
      <c r="AG425" t="s">
        <v>35</v>
      </c>
      <c r="AH425" t="s">
        <v>306</v>
      </c>
      <c r="BF425" t="s">
        <v>306</v>
      </c>
      <c r="BG425" t="s">
        <v>35</v>
      </c>
      <c r="BH425">
        <v>10</v>
      </c>
      <c r="BI425" t="s">
        <v>501</v>
      </c>
      <c r="CG425" t="s">
        <v>16</v>
      </c>
      <c r="CH425" t="s">
        <v>287</v>
      </c>
      <c r="CI425">
        <v>60258</v>
      </c>
      <c r="CJ425" t="s">
        <v>500</v>
      </c>
    </row>
    <row r="426" spans="1:88" x14ac:dyDescent="0.25">
      <c r="A426" t="s">
        <v>16</v>
      </c>
      <c r="B426" t="s">
        <v>58</v>
      </c>
      <c r="C426" t="s">
        <v>286</v>
      </c>
      <c r="D426">
        <v>94006</v>
      </c>
      <c r="E426">
        <v>7</v>
      </c>
      <c r="F426" s="24" t="str">
        <f t="shared" si="46"/>
        <v>2024-1</v>
      </c>
      <c r="O426" t="s">
        <v>35</v>
      </c>
      <c r="P426" t="s">
        <v>180</v>
      </c>
      <c r="Q426">
        <v>4</v>
      </c>
      <c r="AA426">
        <v>94006</v>
      </c>
      <c r="AB426" t="s">
        <v>58</v>
      </c>
      <c r="AD426">
        <f t="shared" si="44"/>
        <v>0</v>
      </c>
      <c r="AE426">
        <f t="shared" si="45"/>
        <v>0</v>
      </c>
      <c r="AG426" t="s">
        <v>35</v>
      </c>
      <c r="AH426" t="s">
        <v>180</v>
      </c>
      <c r="BF426" t="s">
        <v>180</v>
      </c>
      <c r="BG426" t="s">
        <v>35</v>
      </c>
      <c r="BH426">
        <v>4</v>
      </c>
      <c r="BI426" t="s">
        <v>501</v>
      </c>
      <c r="CG426" t="s">
        <v>16</v>
      </c>
      <c r="CH426" t="s">
        <v>58</v>
      </c>
      <c r="CI426">
        <v>94006</v>
      </c>
      <c r="CJ426" t="s">
        <v>500</v>
      </c>
    </row>
    <row r="427" spans="1:88" x14ac:dyDescent="0.25">
      <c r="A427" t="s">
        <v>75</v>
      </c>
      <c r="B427" t="s">
        <v>132</v>
      </c>
      <c r="C427" t="s">
        <v>286</v>
      </c>
      <c r="D427">
        <v>43159</v>
      </c>
      <c r="E427">
        <v>6</v>
      </c>
      <c r="F427" s="24" t="str">
        <f t="shared" si="46"/>
        <v>2024-1</v>
      </c>
      <c r="O427" t="s">
        <v>35</v>
      </c>
      <c r="P427" t="s">
        <v>196</v>
      </c>
      <c r="Q427">
        <v>8</v>
      </c>
      <c r="AA427">
        <v>43159</v>
      </c>
      <c r="AB427" t="s">
        <v>132</v>
      </c>
      <c r="AD427">
        <f t="shared" si="44"/>
        <v>0</v>
      </c>
      <c r="AE427">
        <f t="shared" si="45"/>
        <v>0</v>
      </c>
      <c r="AG427" t="s">
        <v>35</v>
      </c>
      <c r="AH427" t="s">
        <v>196</v>
      </c>
      <c r="BF427" t="s">
        <v>196</v>
      </c>
      <c r="BG427" t="s">
        <v>35</v>
      </c>
      <c r="BH427">
        <v>8</v>
      </c>
      <c r="BI427" t="s">
        <v>501</v>
      </c>
      <c r="CG427" t="s">
        <v>75</v>
      </c>
      <c r="CH427" t="s">
        <v>132</v>
      </c>
      <c r="CI427">
        <v>43159</v>
      </c>
      <c r="CJ427" t="s">
        <v>500</v>
      </c>
    </row>
    <row r="428" spans="1:88" x14ac:dyDescent="0.25">
      <c r="A428" t="s">
        <v>8</v>
      </c>
      <c r="B428" t="s">
        <v>27</v>
      </c>
      <c r="C428" t="s">
        <v>286</v>
      </c>
      <c r="D428">
        <v>43238</v>
      </c>
      <c r="E428">
        <v>2</v>
      </c>
      <c r="F428" s="24" t="str">
        <f t="shared" si="46"/>
        <v>2024-1</v>
      </c>
      <c r="O428" t="s">
        <v>10</v>
      </c>
      <c r="P428" t="s">
        <v>127</v>
      </c>
      <c r="Q428">
        <v>9</v>
      </c>
      <c r="AA428">
        <v>43238</v>
      </c>
      <c r="AB428" t="s">
        <v>27</v>
      </c>
      <c r="AD428">
        <f t="shared" si="44"/>
        <v>0</v>
      </c>
      <c r="AE428">
        <f t="shared" si="45"/>
        <v>0</v>
      </c>
      <c r="AG428" t="s">
        <v>10</v>
      </c>
      <c r="AH428" t="s">
        <v>127</v>
      </c>
      <c r="BF428" t="s">
        <v>127</v>
      </c>
      <c r="BG428" t="s">
        <v>10</v>
      </c>
      <c r="BH428">
        <v>9</v>
      </c>
      <c r="BI428" t="s">
        <v>501</v>
      </c>
      <c r="CG428" t="s">
        <v>8</v>
      </c>
      <c r="CH428" t="s">
        <v>27</v>
      </c>
      <c r="CI428">
        <v>43238</v>
      </c>
      <c r="CJ428" t="s">
        <v>500</v>
      </c>
    </row>
    <row r="429" spans="1:88" x14ac:dyDescent="0.25">
      <c r="A429" t="s">
        <v>29</v>
      </c>
      <c r="B429" t="s">
        <v>88</v>
      </c>
      <c r="C429" t="s">
        <v>288</v>
      </c>
      <c r="D429">
        <v>79139</v>
      </c>
      <c r="E429">
        <v>6</v>
      </c>
      <c r="F429" s="24" t="str">
        <f t="shared" si="46"/>
        <v>2024-1</v>
      </c>
      <c r="O429" t="s">
        <v>75</v>
      </c>
      <c r="P429" t="s">
        <v>139</v>
      </c>
      <c r="Q429">
        <v>7</v>
      </c>
      <c r="AA429">
        <v>79139</v>
      </c>
      <c r="AB429" t="s">
        <v>88</v>
      </c>
      <c r="AD429">
        <f t="shared" si="44"/>
        <v>0</v>
      </c>
      <c r="AE429">
        <f t="shared" si="45"/>
        <v>0</v>
      </c>
      <c r="AG429" t="s">
        <v>75</v>
      </c>
      <c r="AH429" t="s">
        <v>139</v>
      </c>
      <c r="BF429" t="s">
        <v>139</v>
      </c>
      <c r="BG429" t="s">
        <v>75</v>
      </c>
      <c r="BH429">
        <v>7</v>
      </c>
      <c r="BI429" t="s">
        <v>501</v>
      </c>
      <c r="CG429" t="s">
        <v>29</v>
      </c>
      <c r="CH429" t="s">
        <v>88</v>
      </c>
      <c r="CI429">
        <v>79139</v>
      </c>
      <c r="CJ429" t="s">
        <v>500</v>
      </c>
    </row>
    <row r="430" spans="1:88" x14ac:dyDescent="0.25">
      <c r="A430" t="s">
        <v>29</v>
      </c>
      <c r="B430" t="s">
        <v>65</v>
      </c>
      <c r="C430" t="s">
        <v>288</v>
      </c>
      <c r="D430">
        <v>71418</v>
      </c>
      <c r="E430">
        <v>4</v>
      </c>
      <c r="F430" s="24" t="str">
        <f t="shared" si="46"/>
        <v>2024-1</v>
      </c>
      <c r="O430" t="s">
        <v>29</v>
      </c>
      <c r="P430" t="s">
        <v>112</v>
      </c>
      <c r="Q430">
        <v>7</v>
      </c>
      <c r="AA430">
        <v>71418</v>
      </c>
      <c r="AB430" t="s">
        <v>65</v>
      </c>
      <c r="AD430">
        <f t="shared" si="44"/>
        <v>0</v>
      </c>
      <c r="AE430">
        <f t="shared" si="45"/>
        <v>0</v>
      </c>
      <c r="AG430" t="s">
        <v>29</v>
      </c>
      <c r="AH430" t="s">
        <v>112</v>
      </c>
      <c r="BF430" t="s">
        <v>112</v>
      </c>
      <c r="BG430" t="s">
        <v>29</v>
      </c>
      <c r="BH430">
        <v>7</v>
      </c>
      <c r="BI430" t="s">
        <v>501</v>
      </c>
      <c r="CG430" t="s">
        <v>29</v>
      </c>
      <c r="CH430" t="s">
        <v>65</v>
      </c>
      <c r="CI430">
        <v>71418</v>
      </c>
      <c r="CJ430" t="s">
        <v>500</v>
      </c>
    </row>
    <row r="431" spans="1:88" x14ac:dyDescent="0.25">
      <c r="A431" t="s">
        <v>5</v>
      </c>
      <c r="B431" t="s">
        <v>164</v>
      </c>
      <c r="C431" t="s">
        <v>288</v>
      </c>
      <c r="D431">
        <v>16458</v>
      </c>
      <c r="E431">
        <v>4</v>
      </c>
      <c r="F431" s="24" t="str">
        <f t="shared" si="46"/>
        <v>2024-1</v>
      </c>
      <c r="O431" t="s">
        <v>75</v>
      </c>
      <c r="P431" t="s">
        <v>234</v>
      </c>
      <c r="Q431">
        <v>8</v>
      </c>
      <c r="AA431">
        <v>16458</v>
      </c>
      <c r="AB431" t="s">
        <v>164</v>
      </c>
      <c r="AD431">
        <f t="shared" si="44"/>
        <v>0</v>
      </c>
      <c r="AE431">
        <f t="shared" si="45"/>
        <v>0</v>
      </c>
      <c r="AG431" t="s">
        <v>75</v>
      </c>
      <c r="AH431" t="s">
        <v>234</v>
      </c>
      <c r="BF431" t="s">
        <v>234</v>
      </c>
      <c r="BG431" t="s">
        <v>75</v>
      </c>
      <c r="BH431">
        <v>8</v>
      </c>
      <c r="BI431" t="s">
        <v>501</v>
      </c>
      <c r="CG431" t="s">
        <v>5</v>
      </c>
      <c r="CH431" t="s">
        <v>164</v>
      </c>
      <c r="CI431">
        <v>16458</v>
      </c>
      <c r="CJ431" t="s">
        <v>500</v>
      </c>
    </row>
    <row r="432" spans="1:88" x14ac:dyDescent="0.25">
      <c r="A432" t="s">
        <v>10</v>
      </c>
      <c r="B432" t="s">
        <v>119</v>
      </c>
      <c r="C432" t="s">
        <v>289</v>
      </c>
      <c r="D432">
        <v>15307</v>
      </c>
      <c r="E432">
        <v>6</v>
      </c>
      <c r="F432" s="24" t="str">
        <f t="shared" si="46"/>
        <v>2024-1</v>
      </c>
      <c r="O432" t="s">
        <v>10</v>
      </c>
      <c r="P432" t="s">
        <v>308</v>
      </c>
      <c r="Q432">
        <v>7</v>
      </c>
      <c r="AA432">
        <v>15307</v>
      </c>
      <c r="AB432" t="s">
        <v>119</v>
      </c>
      <c r="AD432">
        <f t="shared" si="44"/>
        <v>0</v>
      </c>
      <c r="AE432">
        <f t="shared" si="45"/>
        <v>0</v>
      </c>
      <c r="AG432" t="s">
        <v>10</v>
      </c>
      <c r="AH432" t="s">
        <v>308</v>
      </c>
      <c r="BF432" t="s">
        <v>308</v>
      </c>
      <c r="BG432" t="s">
        <v>10</v>
      </c>
      <c r="BH432">
        <v>7</v>
      </c>
      <c r="BI432" t="s">
        <v>501</v>
      </c>
      <c r="CG432" t="s">
        <v>10</v>
      </c>
      <c r="CH432" t="s">
        <v>119</v>
      </c>
      <c r="CI432">
        <v>15307</v>
      </c>
      <c r="CJ432" t="s">
        <v>500</v>
      </c>
    </row>
    <row r="433" spans="1:88" x14ac:dyDescent="0.25">
      <c r="A433" t="s">
        <v>8</v>
      </c>
      <c r="B433" t="s">
        <v>247</v>
      </c>
      <c r="C433" t="s">
        <v>289</v>
      </c>
      <c r="D433">
        <v>70290</v>
      </c>
      <c r="E433">
        <v>4</v>
      </c>
      <c r="F433" s="24" t="str">
        <f t="shared" si="46"/>
        <v>2024-1</v>
      </c>
      <c r="O433" t="s">
        <v>8</v>
      </c>
      <c r="P433" t="s">
        <v>135</v>
      </c>
      <c r="Q433">
        <v>5</v>
      </c>
      <c r="AA433">
        <v>70290</v>
      </c>
      <c r="AB433" t="s">
        <v>247</v>
      </c>
      <c r="AD433">
        <f t="shared" si="44"/>
        <v>0</v>
      </c>
      <c r="AE433">
        <f t="shared" si="45"/>
        <v>0</v>
      </c>
      <c r="AG433" t="s">
        <v>8</v>
      </c>
      <c r="AH433" t="s">
        <v>135</v>
      </c>
      <c r="BF433" t="s">
        <v>135</v>
      </c>
      <c r="BG433" t="s">
        <v>8</v>
      </c>
      <c r="BH433">
        <v>5</v>
      </c>
      <c r="BI433" t="s">
        <v>501</v>
      </c>
      <c r="CG433" t="s">
        <v>8</v>
      </c>
      <c r="CH433" t="s">
        <v>247</v>
      </c>
      <c r="CI433">
        <v>70290</v>
      </c>
      <c r="CJ433" t="s">
        <v>500</v>
      </c>
    </row>
    <row r="434" spans="1:88" x14ac:dyDescent="0.25">
      <c r="A434" t="s">
        <v>14</v>
      </c>
      <c r="B434" t="s">
        <v>176</v>
      </c>
      <c r="C434" t="s">
        <v>290</v>
      </c>
      <c r="D434">
        <v>88267</v>
      </c>
      <c r="E434">
        <v>2</v>
      </c>
      <c r="F434" s="24" t="str">
        <f t="shared" si="46"/>
        <v>2024-1</v>
      </c>
      <c r="O434" t="s">
        <v>5</v>
      </c>
      <c r="P434" t="s">
        <v>220</v>
      </c>
      <c r="Q434">
        <v>7</v>
      </c>
      <c r="AA434">
        <v>88267</v>
      </c>
      <c r="AB434" t="s">
        <v>176</v>
      </c>
      <c r="AD434">
        <f t="shared" si="44"/>
        <v>0</v>
      </c>
      <c r="AE434">
        <f t="shared" si="45"/>
        <v>0</v>
      </c>
      <c r="AG434" t="s">
        <v>5</v>
      </c>
      <c r="AH434" t="s">
        <v>220</v>
      </c>
      <c r="BF434" t="s">
        <v>220</v>
      </c>
      <c r="BG434" t="s">
        <v>5</v>
      </c>
      <c r="BH434">
        <v>7</v>
      </c>
      <c r="BI434" t="s">
        <v>501</v>
      </c>
      <c r="CG434" t="s">
        <v>14</v>
      </c>
      <c r="CH434" t="s">
        <v>176</v>
      </c>
      <c r="CI434">
        <v>88267</v>
      </c>
      <c r="CJ434" t="s">
        <v>500</v>
      </c>
    </row>
    <row r="435" spans="1:88" x14ac:dyDescent="0.25">
      <c r="A435" t="s">
        <v>37</v>
      </c>
      <c r="B435" t="s">
        <v>138</v>
      </c>
      <c r="C435" t="s">
        <v>290</v>
      </c>
      <c r="D435">
        <v>56749</v>
      </c>
      <c r="E435">
        <v>3</v>
      </c>
      <c r="F435" s="24" t="str">
        <f t="shared" si="46"/>
        <v>2024-1</v>
      </c>
      <c r="O435" t="s">
        <v>55</v>
      </c>
      <c r="P435" t="s">
        <v>119</v>
      </c>
      <c r="Q435">
        <v>8</v>
      </c>
      <c r="AA435">
        <v>56749</v>
      </c>
      <c r="AB435" t="s">
        <v>138</v>
      </c>
      <c r="AD435">
        <f t="shared" si="44"/>
        <v>0</v>
      </c>
      <c r="AE435">
        <f t="shared" si="45"/>
        <v>0</v>
      </c>
      <c r="AG435" t="s">
        <v>55</v>
      </c>
      <c r="AH435" t="s">
        <v>119</v>
      </c>
      <c r="BF435" t="s">
        <v>119</v>
      </c>
      <c r="BG435" t="s">
        <v>55</v>
      </c>
      <c r="BH435">
        <v>8</v>
      </c>
      <c r="BI435" t="s">
        <v>501</v>
      </c>
      <c r="CG435" t="s">
        <v>37</v>
      </c>
      <c r="CH435" t="s">
        <v>138</v>
      </c>
      <c r="CI435">
        <v>56749</v>
      </c>
      <c r="CJ435" t="s">
        <v>500</v>
      </c>
    </row>
    <row r="436" spans="1:88" x14ac:dyDescent="0.25">
      <c r="A436" t="s">
        <v>16</v>
      </c>
      <c r="B436" t="s">
        <v>95</v>
      </c>
      <c r="C436" t="s">
        <v>291</v>
      </c>
      <c r="D436">
        <v>95145</v>
      </c>
      <c r="E436">
        <v>2</v>
      </c>
      <c r="F436" s="24" t="str">
        <f t="shared" si="46"/>
        <v>2024-1</v>
      </c>
      <c r="O436" t="s">
        <v>29</v>
      </c>
      <c r="P436" t="s">
        <v>125</v>
      </c>
      <c r="Q436">
        <v>6</v>
      </c>
      <c r="AA436">
        <v>95145</v>
      </c>
      <c r="AB436" t="s">
        <v>95</v>
      </c>
      <c r="AD436">
        <f t="shared" si="44"/>
        <v>0</v>
      </c>
      <c r="AE436">
        <f t="shared" si="45"/>
        <v>0</v>
      </c>
      <c r="AG436" t="s">
        <v>29</v>
      </c>
      <c r="AH436" t="s">
        <v>125</v>
      </c>
      <c r="BF436" t="s">
        <v>125</v>
      </c>
      <c r="BG436" t="s">
        <v>29</v>
      </c>
      <c r="BH436">
        <v>6</v>
      </c>
      <c r="BI436" t="s">
        <v>501</v>
      </c>
      <c r="CG436" t="s">
        <v>16</v>
      </c>
      <c r="CH436" t="s">
        <v>95</v>
      </c>
      <c r="CI436">
        <v>95145</v>
      </c>
      <c r="CJ436" t="s">
        <v>500</v>
      </c>
    </row>
    <row r="437" spans="1:88" x14ac:dyDescent="0.25">
      <c r="A437" t="s">
        <v>16</v>
      </c>
      <c r="B437" t="s">
        <v>143</v>
      </c>
      <c r="C437" t="s">
        <v>291</v>
      </c>
      <c r="D437">
        <v>96925</v>
      </c>
      <c r="E437">
        <v>4</v>
      </c>
      <c r="F437" s="24" t="str">
        <f t="shared" si="46"/>
        <v>2024-1</v>
      </c>
      <c r="O437" t="s">
        <v>8</v>
      </c>
      <c r="P437" t="s">
        <v>301</v>
      </c>
      <c r="Q437">
        <v>5</v>
      </c>
      <c r="AA437">
        <v>96925</v>
      </c>
      <c r="AB437" t="s">
        <v>143</v>
      </c>
      <c r="AD437">
        <f t="shared" si="44"/>
        <v>0</v>
      </c>
      <c r="AE437">
        <f t="shared" si="45"/>
        <v>0</v>
      </c>
      <c r="AG437" t="s">
        <v>8</v>
      </c>
      <c r="AH437" t="s">
        <v>301</v>
      </c>
      <c r="BF437" t="s">
        <v>301</v>
      </c>
      <c r="BG437" t="s">
        <v>8</v>
      </c>
      <c r="BH437">
        <v>5</v>
      </c>
      <c r="BI437" t="s">
        <v>501</v>
      </c>
      <c r="CG437" t="s">
        <v>16</v>
      </c>
      <c r="CH437" t="s">
        <v>143</v>
      </c>
      <c r="CI437">
        <v>96925</v>
      </c>
      <c r="CJ437" t="s">
        <v>500</v>
      </c>
    </row>
    <row r="438" spans="1:88" x14ac:dyDescent="0.25">
      <c r="A438" t="s">
        <v>37</v>
      </c>
      <c r="B438" t="s">
        <v>46</v>
      </c>
      <c r="C438" t="s">
        <v>292</v>
      </c>
      <c r="D438">
        <v>67505</v>
      </c>
      <c r="E438">
        <v>7</v>
      </c>
      <c r="F438" s="24" t="str">
        <f t="shared" si="46"/>
        <v>2024-1</v>
      </c>
      <c r="O438" t="s">
        <v>53</v>
      </c>
      <c r="P438" t="s">
        <v>129</v>
      </c>
      <c r="Q438">
        <v>8</v>
      </c>
      <c r="AA438">
        <v>67505</v>
      </c>
      <c r="AB438" t="s">
        <v>46</v>
      </c>
      <c r="AD438">
        <f t="shared" si="44"/>
        <v>0</v>
      </c>
      <c r="AE438">
        <f t="shared" si="45"/>
        <v>0</v>
      </c>
      <c r="AG438" t="s">
        <v>53</v>
      </c>
      <c r="AH438" t="s">
        <v>129</v>
      </c>
      <c r="BF438" t="s">
        <v>129</v>
      </c>
      <c r="BG438" t="s">
        <v>53</v>
      </c>
      <c r="BH438">
        <v>8</v>
      </c>
      <c r="BI438" t="s">
        <v>501</v>
      </c>
      <c r="CG438" t="s">
        <v>37</v>
      </c>
      <c r="CH438" t="s">
        <v>46</v>
      </c>
      <c r="CI438">
        <v>67505</v>
      </c>
      <c r="CJ438" t="s">
        <v>500</v>
      </c>
    </row>
    <row r="439" spans="1:88" x14ac:dyDescent="0.25">
      <c r="A439" t="s">
        <v>10</v>
      </c>
      <c r="B439" t="s">
        <v>54</v>
      </c>
      <c r="C439" t="s">
        <v>292</v>
      </c>
      <c r="D439">
        <v>49950</v>
      </c>
      <c r="E439">
        <v>5</v>
      </c>
      <c r="F439" s="24" t="str">
        <f t="shared" si="46"/>
        <v>2024-1</v>
      </c>
      <c r="O439" t="s">
        <v>53</v>
      </c>
      <c r="P439" t="s">
        <v>109</v>
      </c>
      <c r="Q439">
        <v>5</v>
      </c>
      <c r="AA439">
        <v>49950</v>
      </c>
      <c r="AB439" t="s">
        <v>54</v>
      </c>
      <c r="AD439">
        <f t="shared" si="44"/>
        <v>0</v>
      </c>
      <c r="AE439">
        <f t="shared" si="45"/>
        <v>0</v>
      </c>
      <c r="AG439" t="s">
        <v>53</v>
      </c>
      <c r="AH439" t="s">
        <v>109</v>
      </c>
      <c r="BF439" t="s">
        <v>109</v>
      </c>
      <c r="BG439" t="s">
        <v>53</v>
      </c>
      <c r="BH439">
        <v>5</v>
      </c>
      <c r="BI439" t="s">
        <v>501</v>
      </c>
      <c r="CG439" t="s">
        <v>10</v>
      </c>
      <c r="CH439" t="s">
        <v>54</v>
      </c>
      <c r="CI439">
        <v>49950</v>
      </c>
      <c r="CJ439" t="s">
        <v>500</v>
      </c>
    </row>
    <row r="440" spans="1:88" x14ac:dyDescent="0.25">
      <c r="A440" t="s">
        <v>35</v>
      </c>
      <c r="B440" t="s">
        <v>127</v>
      </c>
      <c r="C440" t="s">
        <v>292</v>
      </c>
      <c r="D440">
        <v>45344</v>
      </c>
      <c r="E440">
        <v>7</v>
      </c>
      <c r="F440" s="24" t="str">
        <f t="shared" si="46"/>
        <v>2024-1</v>
      </c>
      <c r="O440" t="s">
        <v>21</v>
      </c>
      <c r="P440" t="s">
        <v>130</v>
      </c>
      <c r="Q440">
        <v>3</v>
      </c>
      <c r="AA440">
        <v>45344</v>
      </c>
      <c r="AB440" t="s">
        <v>127</v>
      </c>
      <c r="AD440">
        <f t="shared" si="44"/>
        <v>0</v>
      </c>
      <c r="AE440">
        <f t="shared" si="45"/>
        <v>0</v>
      </c>
      <c r="AG440" t="s">
        <v>21</v>
      </c>
      <c r="AH440" t="s">
        <v>130</v>
      </c>
      <c r="BF440" t="s">
        <v>130</v>
      </c>
      <c r="BG440" t="s">
        <v>21</v>
      </c>
      <c r="BH440">
        <v>3</v>
      </c>
      <c r="BI440" t="s">
        <v>501</v>
      </c>
      <c r="CG440" t="s">
        <v>35</v>
      </c>
      <c r="CH440" t="s">
        <v>127</v>
      </c>
      <c r="CI440">
        <v>45344</v>
      </c>
      <c r="CJ440" t="s">
        <v>500</v>
      </c>
    </row>
    <row r="441" spans="1:88" x14ac:dyDescent="0.25">
      <c r="A441" t="s">
        <v>35</v>
      </c>
      <c r="B441" t="s">
        <v>118</v>
      </c>
      <c r="C441" t="s">
        <v>292</v>
      </c>
      <c r="D441">
        <v>12942</v>
      </c>
      <c r="E441">
        <v>8</v>
      </c>
      <c r="F441" s="24" t="str">
        <f t="shared" si="46"/>
        <v>2024-1</v>
      </c>
      <c r="O441" t="s">
        <v>37</v>
      </c>
      <c r="P441" t="s">
        <v>127</v>
      </c>
      <c r="Q441">
        <v>7</v>
      </c>
      <c r="AA441">
        <v>12942</v>
      </c>
      <c r="AB441" t="s">
        <v>118</v>
      </c>
      <c r="AD441">
        <f t="shared" si="44"/>
        <v>0</v>
      </c>
      <c r="AE441">
        <f t="shared" si="45"/>
        <v>0</v>
      </c>
      <c r="AG441" t="s">
        <v>37</v>
      </c>
      <c r="AH441" t="s">
        <v>127</v>
      </c>
      <c r="BF441" t="s">
        <v>127</v>
      </c>
      <c r="BG441" t="s">
        <v>37</v>
      </c>
      <c r="BH441">
        <v>7</v>
      </c>
      <c r="BI441" t="s">
        <v>501</v>
      </c>
      <c r="CG441" t="s">
        <v>35</v>
      </c>
      <c r="CH441" t="s">
        <v>118</v>
      </c>
      <c r="CI441">
        <v>12942</v>
      </c>
      <c r="CJ441" t="s">
        <v>500</v>
      </c>
    </row>
    <row r="442" spans="1:88" x14ac:dyDescent="0.25">
      <c r="A442" t="s">
        <v>14</v>
      </c>
      <c r="B442" t="s">
        <v>166</v>
      </c>
      <c r="C442" t="s">
        <v>292</v>
      </c>
      <c r="D442">
        <v>54679</v>
      </c>
      <c r="E442">
        <v>7</v>
      </c>
      <c r="F442" s="24" t="str">
        <f t="shared" si="46"/>
        <v>2024-1</v>
      </c>
      <c r="O442" t="s">
        <v>16</v>
      </c>
      <c r="P442" t="s">
        <v>161</v>
      </c>
      <c r="Q442">
        <v>6</v>
      </c>
      <c r="AA442">
        <v>54679</v>
      </c>
      <c r="AB442" t="s">
        <v>166</v>
      </c>
      <c r="AD442">
        <f t="shared" si="44"/>
        <v>0</v>
      </c>
      <c r="AE442">
        <f t="shared" si="45"/>
        <v>0</v>
      </c>
      <c r="AG442" t="s">
        <v>16</v>
      </c>
      <c r="AH442" t="s">
        <v>161</v>
      </c>
      <c r="BF442" t="s">
        <v>161</v>
      </c>
      <c r="BG442" t="s">
        <v>16</v>
      </c>
      <c r="BH442">
        <v>6</v>
      </c>
      <c r="BI442" t="s">
        <v>501</v>
      </c>
      <c r="CG442" t="s">
        <v>14</v>
      </c>
      <c r="CH442" t="s">
        <v>166</v>
      </c>
      <c r="CI442">
        <v>54679</v>
      </c>
      <c r="CJ442" t="s">
        <v>500</v>
      </c>
    </row>
    <row r="443" spans="1:88" x14ac:dyDescent="0.25">
      <c r="A443" t="s">
        <v>75</v>
      </c>
      <c r="B443" t="s">
        <v>280</v>
      </c>
      <c r="C443" t="s">
        <v>292</v>
      </c>
      <c r="D443">
        <v>99311</v>
      </c>
      <c r="E443">
        <v>7</v>
      </c>
      <c r="F443" s="24" t="str">
        <f t="shared" si="46"/>
        <v>2024-1</v>
      </c>
      <c r="O443" t="s">
        <v>5</v>
      </c>
      <c r="P443" t="s">
        <v>9</v>
      </c>
      <c r="Q443">
        <v>4</v>
      </c>
      <c r="AA443">
        <v>99311</v>
      </c>
      <c r="AB443" t="s">
        <v>280</v>
      </c>
      <c r="AD443">
        <f t="shared" si="44"/>
        <v>0</v>
      </c>
      <c r="AE443">
        <f t="shared" si="45"/>
        <v>0</v>
      </c>
      <c r="AG443" t="s">
        <v>5</v>
      </c>
      <c r="AH443" t="s">
        <v>9</v>
      </c>
      <c r="BF443" t="s">
        <v>9</v>
      </c>
      <c r="BG443" t="s">
        <v>5</v>
      </c>
      <c r="BH443">
        <v>4</v>
      </c>
      <c r="BI443" t="s">
        <v>501</v>
      </c>
      <c r="CG443" t="s">
        <v>75</v>
      </c>
      <c r="CH443" t="s">
        <v>280</v>
      </c>
      <c r="CI443">
        <v>99311</v>
      </c>
      <c r="CJ443" t="s">
        <v>500</v>
      </c>
    </row>
    <row r="444" spans="1:88" x14ac:dyDescent="0.25">
      <c r="A444" t="s">
        <v>75</v>
      </c>
      <c r="B444" t="s">
        <v>293</v>
      </c>
      <c r="C444" t="s">
        <v>292</v>
      </c>
      <c r="D444">
        <v>92087</v>
      </c>
      <c r="E444">
        <v>7</v>
      </c>
      <c r="F444" s="24" t="str">
        <f t="shared" si="46"/>
        <v>2024-1</v>
      </c>
      <c r="O444" t="s">
        <v>53</v>
      </c>
      <c r="P444" t="s">
        <v>314</v>
      </c>
      <c r="Q444">
        <v>10</v>
      </c>
      <c r="AA444">
        <v>92087</v>
      </c>
      <c r="AB444" t="s">
        <v>293</v>
      </c>
      <c r="AD444">
        <f t="shared" si="44"/>
        <v>0</v>
      </c>
      <c r="AE444">
        <f t="shared" si="45"/>
        <v>0</v>
      </c>
      <c r="AG444" t="s">
        <v>53</v>
      </c>
      <c r="AH444" t="s">
        <v>314</v>
      </c>
      <c r="BF444" t="s">
        <v>314</v>
      </c>
      <c r="BG444" t="s">
        <v>53</v>
      </c>
      <c r="BH444">
        <v>10</v>
      </c>
      <c r="BI444" t="s">
        <v>501</v>
      </c>
      <c r="CG444" t="s">
        <v>75</v>
      </c>
      <c r="CH444" t="s">
        <v>293</v>
      </c>
      <c r="CI444">
        <v>92087</v>
      </c>
      <c r="CJ444" t="s">
        <v>500</v>
      </c>
    </row>
    <row r="445" spans="1:88" x14ac:dyDescent="0.25">
      <c r="A445" t="s">
        <v>16</v>
      </c>
      <c r="B445" t="s">
        <v>110</v>
      </c>
      <c r="C445" t="s">
        <v>294</v>
      </c>
      <c r="D445">
        <v>74285</v>
      </c>
      <c r="E445">
        <v>3</v>
      </c>
      <c r="F445" s="24" t="str">
        <f t="shared" si="46"/>
        <v>2024-1</v>
      </c>
      <c r="O445" t="s">
        <v>14</v>
      </c>
      <c r="P445" t="s">
        <v>109</v>
      </c>
      <c r="Q445">
        <v>5</v>
      </c>
      <c r="AA445">
        <v>74285</v>
      </c>
      <c r="AB445" t="s">
        <v>110</v>
      </c>
      <c r="AD445">
        <f t="shared" si="44"/>
        <v>0</v>
      </c>
      <c r="AE445">
        <f t="shared" si="45"/>
        <v>0</v>
      </c>
      <c r="AG445" t="s">
        <v>14</v>
      </c>
      <c r="AH445" t="s">
        <v>109</v>
      </c>
      <c r="BF445" t="s">
        <v>109</v>
      </c>
      <c r="BG445" t="s">
        <v>14</v>
      </c>
      <c r="BH445">
        <v>5</v>
      </c>
      <c r="BI445" t="s">
        <v>501</v>
      </c>
      <c r="CG445" t="s">
        <v>16</v>
      </c>
      <c r="CH445" t="s">
        <v>110</v>
      </c>
      <c r="CI445">
        <v>74285</v>
      </c>
      <c r="CJ445" t="s">
        <v>500</v>
      </c>
    </row>
    <row r="446" spans="1:88" x14ac:dyDescent="0.25">
      <c r="A446" t="s">
        <v>14</v>
      </c>
      <c r="B446" t="s">
        <v>116</v>
      </c>
      <c r="C446" t="s">
        <v>294</v>
      </c>
      <c r="D446">
        <v>96247</v>
      </c>
      <c r="E446">
        <v>4</v>
      </c>
      <c r="F446" s="24" t="str">
        <f t="shared" si="46"/>
        <v>2024-1</v>
      </c>
      <c r="O446" t="s">
        <v>29</v>
      </c>
      <c r="P446" t="s">
        <v>108</v>
      </c>
      <c r="Q446">
        <v>7</v>
      </c>
      <c r="AA446">
        <v>96247</v>
      </c>
      <c r="AB446" t="s">
        <v>116</v>
      </c>
      <c r="AD446">
        <f t="shared" si="44"/>
        <v>0</v>
      </c>
      <c r="AE446">
        <f t="shared" si="45"/>
        <v>0</v>
      </c>
      <c r="AG446" t="s">
        <v>29</v>
      </c>
      <c r="AH446" t="s">
        <v>108</v>
      </c>
      <c r="BF446" t="s">
        <v>108</v>
      </c>
      <c r="BG446" t="s">
        <v>29</v>
      </c>
      <c r="BH446">
        <v>7</v>
      </c>
      <c r="BI446" t="s">
        <v>501</v>
      </c>
      <c r="CG446" t="s">
        <v>14</v>
      </c>
      <c r="CH446" t="s">
        <v>116</v>
      </c>
      <c r="CI446">
        <v>96247</v>
      </c>
      <c r="CJ446" t="s">
        <v>500</v>
      </c>
    </row>
    <row r="447" spans="1:88" x14ac:dyDescent="0.25">
      <c r="A447" t="s">
        <v>29</v>
      </c>
      <c r="B447" t="s">
        <v>229</v>
      </c>
      <c r="C447" t="s">
        <v>294</v>
      </c>
      <c r="D447">
        <v>11823</v>
      </c>
      <c r="E447">
        <v>10</v>
      </c>
      <c r="F447" s="24" t="str">
        <f t="shared" si="46"/>
        <v>2024-1</v>
      </c>
      <c r="O447" t="s">
        <v>37</v>
      </c>
      <c r="P447" t="s">
        <v>73</v>
      </c>
      <c r="Q447">
        <v>6</v>
      </c>
      <c r="AA447">
        <v>11823</v>
      </c>
      <c r="AB447" t="s">
        <v>229</v>
      </c>
      <c r="AD447">
        <f t="shared" si="44"/>
        <v>0</v>
      </c>
      <c r="AE447">
        <f t="shared" si="45"/>
        <v>0</v>
      </c>
      <c r="AG447" t="s">
        <v>37</v>
      </c>
      <c r="AH447" t="s">
        <v>73</v>
      </c>
      <c r="BF447" t="s">
        <v>73</v>
      </c>
      <c r="BG447" t="s">
        <v>37</v>
      </c>
      <c r="BH447">
        <v>6</v>
      </c>
      <c r="BI447" t="s">
        <v>501</v>
      </c>
      <c r="CG447" t="s">
        <v>29</v>
      </c>
      <c r="CH447" t="s">
        <v>229</v>
      </c>
      <c r="CI447">
        <v>11823</v>
      </c>
      <c r="CJ447" t="s">
        <v>500</v>
      </c>
    </row>
    <row r="448" spans="1:88" x14ac:dyDescent="0.25">
      <c r="A448" t="s">
        <v>29</v>
      </c>
      <c r="B448" t="s">
        <v>18</v>
      </c>
      <c r="C448" t="s">
        <v>294</v>
      </c>
      <c r="D448">
        <v>81601</v>
      </c>
      <c r="E448">
        <v>4</v>
      </c>
      <c r="F448" s="24" t="str">
        <f t="shared" si="46"/>
        <v>2024-1</v>
      </c>
      <c r="O448" t="s">
        <v>29</v>
      </c>
      <c r="P448" t="s">
        <v>64</v>
      </c>
      <c r="Q448">
        <v>7</v>
      </c>
      <c r="AA448">
        <v>81601</v>
      </c>
      <c r="AB448" t="s">
        <v>18</v>
      </c>
      <c r="AD448">
        <f t="shared" si="44"/>
        <v>0</v>
      </c>
      <c r="AE448">
        <f t="shared" si="45"/>
        <v>0</v>
      </c>
      <c r="AG448" t="s">
        <v>29</v>
      </c>
      <c r="AH448" t="s">
        <v>64</v>
      </c>
      <c r="BF448" t="s">
        <v>64</v>
      </c>
      <c r="BG448" t="s">
        <v>29</v>
      </c>
      <c r="BH448">
        <v>7</v>
      </c>
      <c r="BI448" t="s">
        <v>501</v>
      </c>
      <c r="CG448" t="s">
        <v>29</v>
      </c>
      <c r="CH448" t="s">
        <v>18</v>
      </c>
      <c r="CI448">
        <v>81601</v>
      </c>
      <c r="CJ448" t="s">
        <v>500</v>
      </c>
    </row>
    <row r="449" spans="1:88" x14ac:dyDescent="0.25">
      <c r="A449" t="s">
        <v>75</v>
      </c>
      <c r="B449" t="s">
        <v>82</v>
      </c>
      <c r="C449" t="s">
        <v>294</v>
      </c>
      <c r="D449">
        <v>31889</v>
      </c>
      <c r="E449">
        <v>6</v>
      </c>
      <c r="F449" s="24" t="str">
        <f t="shared" si="46"/>
        <v>2024-1</v>
      </c>
      <c r="O449" t="s">
        <v>53</v>
      </c>
      <c r="P449" t="s">
        <v>319</v>
      </c>
      <c r="Q449">
        <v>8</v>
      </c>
      <c r="AA449">
        <v>31889</v>
      </c>
      <c r="AB449" t="s">
        <v>82</v>
      </c>
      <c r="AD449">
        <f t="shared" si="44"/>
        <v>0</v>
      </c>
      <c r="AE449">
        <f t="shared" si="45"/>
        <v>0</v>
      </c>
      <c r="AG449" t="s">
        <v>53</v>
      </c>
      <c r="AH449" t="s">
        <v>319</v>
      </c>
      <c r="BF449" t="s">
        <v>319</v>
      </c>
      <c r="BG449" t="s">
        <v>53</v>
      </c>
      <c r="BH449">
        <v>8</v>
      </c>
      <c r="BI449" t="s">
        <v>501</v>
      </c>
      <c r="CG449" t="s">
        <v>75</v>
      </c>
      <c r="CH449" t="s">
        <v>82</v>
      </c>
      <c r="CI449">
        <v>31889</v>
      </c>
      <c r="CJ449" t="s">
        <v>500</v>
      </c>
    </row>
    <row r="450" spans="1:88" x14ac:dyDescent="0.25">
      <c r="A450" t="s">
        <v>8</v>
      </c>
      <c r="B450" t="s">
        <v>295</v>
      </c>
      <c r="C450" t="s">
        <v>296</v>
      </c>
      <c r="D450">
        <v>77996</v>
      </c>
      <c r="E450">
        <v>7</v>
      </c>
      <c r="F450" s="24" t="str">
        <f t="shared" si="46"/>
        <v>2024-2</v>
      </c>
      <c r="O450" t="s">
        <v>10</v>
      </c>
      <c r="P450" t="s">
        <v>306</v>
      </c>
      <c r="Q450">
        <v>8</v>
      </c>
      <c r="AA450">
        <v>77996</v>
      </c>
      <c r="AB450" t="s">
        <v>295</v>
      </c>
      <c r="AD450">
        <f t="shared" ref="AD450:AD513" si="47">COUNTIF(AB:AB,AC450)</f>
        <v>0</v>
      </c>
      <c r="AE450">
        <f t="shared" ref="AE450:AE513" si="48">SUMIF(AB:AB,AC450,AA:AA)</f>
        <v>0</v>
      </c>
      <c r="AG450" t="s">
        <v>10</v>
      </c>
      <c r="AH450" t="s">
        <v>306</v>
      </c>
      <c r="BF450" t="s">
        <v>306</v>
      </c>
      <c r="BG450" t="s">
        <v>10</v>
      </c>
      <c r="BH450">
        <v>8</v>
      </c>
      <c r="BI450" t="s">
        <v>501</v>
      </c>
      <c r="CG450" t="s">
        <v>8</v>
      </c>
      <c r="CH450" t="s">
        <v>295</v>
      </c>
      <c r="CI450">
        <v>77996</v>
      </c>
      <c r="CJ450" t="s">
        <v>501</v>
      </c>
    </row>
    <row r="451" spans="1:88" x14ac:dyDescent="0.25">
      <c r="A451" t="s">
        <v>14</v>
      </c>
      <c r="B451" t="s">
        <v>159</v>
      </c>
      <c r="C451" t="s">
        <v>296</v>
      </c>
      <c r="D451">
        <v>26615</v>
      </c>
      <c r="E451">
        <v>7</v>
      </c>
      <c r="F451" s="24" t="str">
        <f t="shared" ref="F451:F514" si="49">YEAR(C451)&amp;"-"&amp;MONTH(C451)</f>
        <v>2024-2</v>
      </c>
      <c r="O451" t="s">
        <v>10</v>
      </c>
      <c r="P451" t="s">
        <v>242</v>
      </c>
      <c r="Q451">
        <v>9</v>
      </c>
      <c r="AA451">
        <v>26615</v>
      </c>
      <c r="AB451" t="s">
        <v>159</v>
      </c>
      <c r="AD451">
        <f t="shared" si="47"/>
        <v>0</v>
      </c>
      <c r="AE451">
        <f t="shared" si="48"/>
        <v>0</v>
      </c>
      <c r="AG451" t="s">
        <v>10</v>
      </c>
      <c r="AH451" t="s">
        <v>242</v>
      </c>
      <c r="BF451" t="s">
        <v>242</v>
      </c>
      <c r="BG451" t="s">
        <v>10</v>
      </c>
      <c r="BH451">
        <v>9</v>
      </c>
      <c r="BI451" t="s">
        <v>501</v>
      </c>
      <c r="CG451" t="s">
        <v>14</v>
      </c>
      <c r="CH451" t="s">
        <v>159</v>
      </c>
      <c r="CI451">
        <v>26615</v>
      </c>
      <c r="CJ451" t="s">
        <v>501</v>
      </c>
    </row>
    <row r="452" spans="1:88" x14ac:dyDescent="0.25">
      <c r="A452" t="s">
        <v>14</v>
      </c>
      <c r="B452" t="s">
        <v>297</v>
      </c>
      <c r="C452" t="s">
        <v>298</v>
      </c>
      <c r="D452">
        <v>17893</v>
      </c>
      <c r="E452">
        <v>8</v>
      </c>
      <c r="F452" s="24" t="str">
        <f t="shared" si="49"/>
        <v>2024-2</v>
      </c>
      <c r="O452" t="s">
        <v>53</v>
      </c>
      <c r="P452" t="s">
        <v>100</v>
      </c>
      <c r="Q452">
        <v>7</v>
      </c>
      <c r="AA452">
        <v>17893</v>
      </c>
      <c r="AB452" t="s">
        <v>297</v>
      </c>
      <c r="AD452">
        <f t="shared" si="47"/>
        <v>0</v>
      </c>
      <c r="AE452">
        <f t="shared" si="48"/>
        <v>0</v>
      </c>
      <c r="AG452" t="s">
        <v>53</v>
      </c>
      <c r="AH452" t="s">
        <v>100</v>
      </c>
      <c r="BF452" t="s">
        <v>100</v>
      </c>
      <c r="BG452" t="s">
        <v>53</v>
      </c>
      <c r="BH452">
        <v>7</v>
      </c>
      <c r="BI452" t="s">
        <v>501</v>
      </c>
      <c r="CG452" t="s">
        <v>14</v>
      </c>
      <c r="CH452" t="s">
        <v>297</v>
      </c>
      <c r="CI452">
        <v>17893</v>
      </c>
      <c r="CJ452" t="s">
        <v>501</v>
      </c>
    </row>
    <row r="453" spans="1:88" x14ac:dyDescent="0.25">
      <c r="A453" t="s">
        <v>55</v>
      </c>
      <c r="B453" t="s">
        <v>20</v>
      </c>
      <c r="C453" t="s">
        <v>299</v>
      </c>
      <c r="D453">
        <v>84856</v>
      </c>
      <c r="E453">
        <v>1</v>
      </c>
      <c r="F453" s="24" t="str">
        <f t="shared" si="49"/>
        <v>2024-2</v>
      </c>
      <c r="O453" t="s">
        <v>29</v>
      </c>
      <c r="P453" t="s">
        <v>160</v>
      </c>
      <c r="Q453">
        <v>8</v>
      </c>
      <c r="AA453">
        <v>84856</v>
      </c>
      <c r="AB453" t="s">
        <v>20</v>
      </c>
      <c r="AD453">
        <f t="shared" si="47"/>
        <v>0</v>
      </c>
      <c r="AE453">
        <f t="shared" si="48"/>
        <v>0</v>
      </c>
      <c r="AG453" t="s">
        <v>29</v>
      </c>
      <c r="AH453" t="s">
        <v>160</v>
      </c>
      <c r="BF453" t="s">
        <v>160</v>
      </c>
      <c r="BG453" t="s">
        <v>29</v>
      </c>
      <c r="BH453">
        <v>8</v>
      </c>
      <c r="BI453" t="s">
        <v>501</v>
      </c>
      <c r="CG453" t="s">
        <v>55</v>
      </c>
      <c r="CH453" t="s">
        <v>20</v>
      </c>
      <c r="CI453">
        <v>84856</v>
      </c>
      <c r="CJ453" t="s">
        <v>501</v>
      </c>
    </row>
    <row r="454" spans="1:88" x14ac:dyDescent="0.25">
      <c r="A454" t="s">
        <v>37</v>
      </c>
      <c r="B454" t="s">
        <v>183</v>
      </c>
      <c r="C454" t="s">
        <v>299</v>
      </c>
      <c r="D454">
        <v>74716</v>
      </c>
      <c r="E454">
        <v>9</v>
      </c>
      <c r="F454" s="24" t="str">
        <f t="shared" si="49"/>
        <v>2024-2</v>
      </c>
      <c r="O454" t="s">
        <v>16</v>
      </c>
      <c r="P454" t="s">
        <v>39</v>
      </c>
      <c r="Q454">
        <v>6</v>
      </c>
      <c r="AA454">
        <v>74716</v>
      </c>
      <c r="AB454" t="s">
        <v>183</v>
      </c>
      <c r="AD454">
        <f t="shared" si="47"/>
        <v>0</v>
      </c>
      <c r="AE454">
        <f t="shared" si="48"/>
        <v>0</v>
      </c>
      <c r="AG454" t="s">
        <v>16</v>
      </c>
      <c r="AH454" t="s">
        <v>39</v>
      </c>
      <c r="BF454" t="s">
        <v>39</v>
      </c>
      <c r="BG454" t="s">
        <v>16</v>
      </c>
      <c r="BH454">
        <v>6</v>
      </c>
      <c r="BI454" t="s">
        <v>501</v>
      </c>
      <c r="CG454" t="s">
        <v>37</v>
      </c>
      <c r="CH454" t="s">
        <v>183</v>
      </c>
      <c r="CI454">
        <v>74716</v>
      </c>
      <c r="CJ454" t="s">
        <v>501</v>
      </c>
    </row>
    <row r="455" spans="1:88" x14ac:dyDescent="0.25">
      <c r="A455" t="s">
        <v>14</v>
      </c>
      <c r="B455" t="s">
        <v>31</v>
      </c>
      <c r="C455" t="s">
        <v>299</v>
      </c>
      <c r="D455">
        <v>56333</v>
      </c>
      <c r="E455">
        <v>4</v>
      </c>
      <c r="F455" s="24" t="str">
        <f t="shared" si="49"/>
        <v>2024-2</v>
      </c>
      <c r="O455" t="s">
        <v>37</v>
      </c>
      <c r="P455" t="s">
        <v>181</v>
      </c>
      <c r="Q455">
        <v>7</v>
      </c>
      <c r="AA455">
        <v>56333</v>
      </c>
      <c r="AB455" t="s">
        <v>31</v>
      </c>
      <c r="AD455">
        <f t="shared" si="47"/>
        <v>0</v>
      </c>
      <c r="AE455">
        <f t="shared" si="48"/>
        <v>0</v>
      </c>
      <c r="AG455" t="s">
        <v>37</v>
      </c>
      <c r="AH455" t="s">
        <v>181</v>
      </c>
      <c r="BF455" t="s">
        <v>181</v>
      </c>
      <c r="BG455" t="s">
        <v>37</v>
      </c>
      <c r="BH455">
        <v>7</v>
      </c>
      <c r="BI455" t="s">
        <v>501</v>
      </c>
      <c r="CG455" t="s">
        <v>14</v>
      </c>
      <c r="CH455" t="s">
        <v>31</v>
      </c>
      <c r="CI455">
        <v>56333</v>
      </c>
      <c r="CJ455" t="s">
        <v>501</v>
      </c>
    </row>
    <row r="456" spans="1:88" x14ac:dyDescent="0.25">
      <c r="A456" t="s">
        <v>53</v>
      </c>
      <c r="B456" t="s">
        <v>87</v>
      </c>
      <c r="C456" t="s">
        <v>299</v>
      </c>
      <c r="D456">
        <v>62980</v>
      </c>
      <c r="E456">
        <v>7</v>
      </c>
      <c r="F456" s="24" t="str">
        <f t="shared" si="49"/>
        <v>2024-2</v>
      </c>
      <c r="O456" t="s">
        <v>37</v>
      </c>
      <c r="P456" t="s">
        <v>48</v>
      </c>
      <c r="Q456">
        <v>8</v>
      </c>
      <c r="AA456">
        <v>62980</v>
      </c>
      <c r="AB456" t="s">
        <v>87</v>
      </c>
      <c r="AD456">
        <f t="shared" si="47"/>
        <v>0</v>
      </c>
      <c r="AE456">
        <f t="shared" si="48"/>
        <v>0</v>
      </c>
      <c r="AG456" t="s">
        <v>37</v>
      </c>
      <c r="AH456" t="s">
        <v>48</v>
      </c>
      <c r="BF456" t="s">
        <v>48</v>
      </c>
      <c r="BG456" t="s">
        <v>37</v>
      </c>
      <c r="BH456">
        <v>8</v>
      </c>
      <c r="BI456" t="s">
        <v>501</v>
      </c>
      <c r="CG456" t="s">
        <v>53</v>
      </c>
      <c r="CH456" t="s">
        <v>87</v>
      </c>
      <c r="CI456">
        <v>62980</v>
      </c>
      <c r="CJ456" t="s">
        <v>501</v>
      </c>
    </row>
    <row r="457" spans="1:88" x14ac:dyDescent="0.25">
      <c r="A457" t="s">
        <v>35</v>
      </c>
      <c r="B457" t="s">
        <v>138</v>
      </c>
      <c r="C457" t="s">
        <v>299</v>
      </c>
      <c r="D457">
        <v>80870</v>
      </c>
      <c r="E457">
        <v>3</v>
      </c>
      <c r="F457" s="24" t="str">
        <f t="shared" si="49"/>
        <v>2024-2</v>
      </c>
      <c r="O457" t="s">
        <v>29</v>
      </c>
      <c r="P457" t="s">
        <v>231</v>
      </c>
      <c r="Q457">
        <v>7</v>
      </c>
      <c r="AA457">
        <v>80870</v>
      </c>
      <c r="AB457" t="s">
        <v>138</v>
      </c>
      <c r="AD457">
        <f t="shared" si="47"/>
        <v>0</v>
      </c>
      <c r="AE457">
        <f t="shared" si="48"/>
        <v>0</v>
      </c>
      <c r="AG457" t="s">
        <v>29</v>
      </c>
      <c r="AH457" t="s">
        <v>231</v>
      </c>
      <c r="BF457" t="s">
        <v>231</v>
      </c>
      <c r="BG457" t="s">
        <v>29</v>
      </c>
      <c r="BH457">
        <v>7</v>
      </c>
      <c r="BI457" t="s">
        <v>501</v>
      </c>
      <c r="CG457" t="s">
        <v>35</v>
      </c>
      <c r="CH457" t="s">
        <v>138</v>
      </c>
      <c r="CI457">
        <v>80870</v>
      </c>
      <c r="CJ457" t="s">
        <v>501</v>
      </c>
    </row>
    <row r="458" spans="1:88" x14ac:dyDescent="0.25">
      <c r="A458" t="s">
        <v>75</v>
      </c>
      <c r="B458" t="s">
        <v>297</v>
      </c>
      <c r="C458" t="s">
        <v>299</v>
      </c>
      <c r="D458">
        <v>17597</v>
      </c>
      <c r="E458">
        <v>6</v>
      </c>
      <c r="F458" s="24" t="str">
        <f t="shared" si="49"/>
        <v>2024-2</v>
      </c>
      <c r="O458" t="s">
        <v>21</v>
      </c>
      <c r="P458" t="s">
        <v>159</v>
      </c>
      <c r="Q458">
        <v>3</v>
      </c>
      <c r="AA458">
        <v>17597</v>
      </c>
      <c r="AB458" t="s">
        <v>297</v>
      </c>
      <c r="AD458">
        <f t="shared" si="47"/>
        <v>0</v>
      </c>
      <c r="AE458">
        <f t="shared" si="48"/>
        <v>0</v>
      </c>
      <c r="AG458" t="s">
        <v>21</v>
      </c>
      <c r="AH458" t="s">
        <v>159</v>
      </c>
      <c r="BF458" t="s">
        <v>159</v>
      </c>
      <c r="BG458" t="s">
        <v>21</v>
      </c>
      <c r="BH458">
        <v>3</v>
      </c>
      <c r="BI458" t="s">
        <v>501</v>
      </c>
      <c r="CG458" t="s">
        <v>75</v>
      </c>
      <c r="CH458" t="s">
        <v>297</v>
      </c>
      <c r="CI458">
        <v>17597</v>
      </c>
      <c r="CJ458" t="s">
        <v>501</v>
      </c>
    </row>
    <row r="459" spans="1:88" x14ac:dyDescent="0.25">
      <c r="A459" t="s">
        <v>8</v>
      </c>
      <c r="B459" t="s">
        <v>300</v>
      </c>
      <c r="C459" t="s">
        <v>299</v>
      </c>
      <c r="D459">
        <v>42440</v>
      </c>
      <c r="E459">
        <v>5</v>
      </c>
      <c r="F459" s="24" t="str">
        <f t="shared" si="49"/>
        <v>2024-2</v>
      </c>
      <c r="O459" t="s">
        <v>8</v>
      </c>
      <c r="P459" t="s">
        <v>321</v>
      </c>
      <c r="Q459">
        <v>6</v>
      </c>
      <c r="AA459">
        <v>42440</v>
      </c>
      <c r="AB459" t="s">
        <v>300</v>
      </c>
      <c r="AD459">
        <f t="shared" si="47"/>
        <v>0</v>
      </c>
      <c r="AE459">
        <f t="shared" si="48"/>
        <v>0</v>
      </c>
      <c r="AG459" t="s">
        <v>8</v>
      </c>
      <c r="AH459" t="s">
        <v>321</v>
      </c>
      <c r="BF459" t="s">
        <v>321</v>
      </c>
      <c r="BG459" t="s">
        <v>8</v>
      </c>
      <c r="BH459">
        <v>6</v>
      </c>
      <c r="BI459" t="s">
        <v>501</v>
      </c>
      <c r="CG459" t="s">
        <v>8</v>
      </c>
      <c r="CH459" t="s">
        <v>300</v>
      </c>
      <c r="CI459">
        <v>42440</v>
      </c>
      <c r="CJ459" t="s">
        <v>501</v>
      </c>
    </row>
    <row r="460" spans="1:88" x14ac:dyDescent="0.25">
      <c r="A460" t="s">
        <v>21</v>
      </c>
      <c r="B460" t="s">
        <v>301</v>
      </c>
      <c r="C460" t="s">
        <v>299</v>
      </c>
      <c r="D460">
        <v>96521</v>
      </c>
      <c r="E460">
        <v>7</v>
      </c>
      <c r="F460" s="24" t="str">
        <f t="shared" si="49"/>
        <v>2024-2</v>
      </c>
      <c r="O460" t="s">
        <v>53</v>
      </c>
      <c r="P460" t="s">
        <v>137</v>
      </c>
      <c r="Q460">
        <v>7</v>
      </c>
      <c r="AA460">
        <v>96521</v>
      </c>
      <c r="AB460" t="s">
        <v>301</v>
      </c>
      <c r="AD460">
        <f t="shared" si="47"/>
        <v>0</v>
      </c>
      <c r="AE460">
        <f t="shared" si="48"/>
        <v>0</v>
      </c>
      <c r="AG460" t="s">
        <v>53</v>
      </c>
      <c r="AH460" t="s">
        <v>137</v>
      </c>
      <c r="BF460" t="s">
        <v>137</v>
      </c>
      <c r="BG460" t="s">
        <v>53</v>
      </c>
      <c r="BH460">
        <v>7</v>
      </c>
      <c r="BI460" t="s">
        <v>501</v>
      </c>
      <c r="CG460" t="s">
        <v>21</v>
      </c>
      <c r="CH460" t="s">
        <v>301</v>
      </c>
      <c r="CI460">
        <v>96521</v>
      </c>
      <c r="CJ460" t="s">
        <v>501</v>
      </c>
    </row>
    <row r="461" spans="1:88" x14ac:dyDescent="0.25">
      <c r="A461" t="s">
        <v>35</v>
      </c>
      <c r="B461" t="s">
        <v>82</v>
      </c>
      <c r="C461" t="s">
        <v>302</v>
      </c>
      <c r="D461">
        <v>60891</v>
      </c>
      <c r="E461">
        <v>4</v>
      </c>
      <c r="F461" s="24" t="str">
        <f t="shared" si="49"/>
        <v>2024-2</v>
      </c>
      <c r="O461" t="s">
        <v>75</v>
      </c>
      <c r="P461" t="s">
        <v>142</v>
      </c>
      <c r="Q461">
        <v>7</v>
      </c>
      <c r="AA461">
        <v>60891</v>
      </c>
      <c r="AB461" t="s">
        <v>82</v>
      </c>
      <c r="AD461">
        <f t="shared" si="47"/>
        <v>0</v>
      </c>
      <c r="AE461">
        <f t="shared" si="48"/>
        <v>0</v>
      </c>
      <c r="AG461" t="s">
        <v>75</v>
      </c>
      <c r="AH461" t="s">
        <v>142</v>
      </c>
      <c r="BF461" t="s">
        <v>142</v>
      </c>
      <c r="BG461" t="s">
        <v>75</v>
      </c>
      <c r="BH461">
        <v>7</v>
      </c>
      <c r="BI461" t="s">
        <v>501</v>
      </c>
      <c r="CG461" t="s">
        <v>35</v>
      </c>
      <c r="CH461" t="s">
        <v>82</v>
      </c>
      <c r="CI461">
        <v>60891</v>
      </c>
      <c r="CJ461" t="s">
        <v>501</v>
      </c>
    </row>
    <row r="462" spans="1:88" x14ac:dyDescent="0.25">
      <c r="A462" t="s">
        <v>21</v>
      </c>
      <c r="B462" t="s">
        <v>39</v>
      </c>
      <c r="C462" t="s">
        <v>302</v>
      </c>
      <c r="D462">
        <v>32218</v>
      </c>
      <c r="E462">
        <v>2</v>
      </c>
      <c r="F462" s="24" t="str">
        <f t="shared" si="49"/>
        <v>2024-2</v>
      </c>
      <c r="O462" t="s">
        <v>14</v>
      </c>
      <c r="P462" t="s">
        <v>255</v>
      </c>
      <c r="Q462">
        <v>7</v>
      </c>
      <c r="AA462">
        <v>32218</v>
      </c>
      <c r="AB462" t="s">
        <v>39</v>
      </c>
      <c r="AD462">
        <f t="shared" si="47"/>
        <v>0</v>
      </c>
      <c r="AE462">
        <f t="shared" si="48"/>
        <v>0</v>
      </c>
      <c r="AG462" t="s">
        <v>14</v>
      </c>
      <c r="AH462" t="s">
        <v>255</v>
      </c>
      <c r="BF462" t="s">
        <v>255</v>
      </c>
      <c r="BG462" t="s">
        <v>14</v>
      </c>
      <c r="BH462">
        <v>7</v>
      </c>
      <c r="BI462" t="s">
        <v>501</v>
      </c>
      <c r="CG462" t="s">
        <v>21</v>
      </c>
      <c r="CH462" t="s">
        <v>39</v>
      </c>
      <c r="CI462">
        <v>32218</v>
      </c>
      <c r="CJ462" t="s">
        <v>501</v>
      </c>
    </row>
    <row r="463" spans="1:88" x14ac:dyDescent="0.25">
      <c r="A463" t="s">
        <v>21</v>
      </c>
      <c r="B463" t="s">
        <v>249</v>
      </c>
      <c r="C463" t="s">
        <v>302</v>
      </c>
      <c r="D463">
        <v>56026</v>
      </c>
      <c r="E463">
        <v>8</v>
      </c>
      <c r="F463" s="24" t="str">
        <f t="shared" si="49"/>
        <v>2024-2</v>
      </c>
      <c r="O463" t="s">
        <v>16</v>
      </c>
      <c r="P463" t="s">
        <v>25</v>
      </c>
      <c r="Q463">
        <v>7</v>
      </c>
      <c r="AA463">
        <v>56026</v>
      </c>
      <c r="AB463" t="s">
        <v>249</v>
      </c>
      <c r="AD463">
        <f t="shared" si="47"/>
        <v>0</v>
      </c>
      <c r="AE463">
        <f t="shared" si="48"/>
        <v>0</v>
      </c>
      <c r="AG463" t="s">
        <v>16</v>
      </c>
      <c r="AH463" t="s">
        <v>25</v>
      </c>
      <c r="BF463" t="s">
        <v>25</v>
      </c>
      <c r="BG463" t="s">
        <v>16</v>
      </c>
      <c r="BH463">
        <v>7</v>
      </c>
      <c r="BI463" t="s">
        <v>502</v>
      </c>
      <c r="CG463" t="s">
        <v>21</v>
      </c>
      <c r="CH463" t="s">
        <v>249</v>
      </c>
      <c r="CI463">
        <v>56026</v>
      </c>
      <c r="CJ463" t="s">
        <v>501</v>
      </c>
    </row>
    <row r="464" spans="1:88" x14ac:dyDescent="0.25">
      <c r="A464" t="s">
        <v>75</v>
      </c>
      <c r="B464" t="s">
        <v>45</v>
      </c>
      <c r="C464" t="s">
        <v>302</v>
      </c>
      <c r="D464">
        <v>48930</v>
      </c>
      <c r="E464">
        <v>6</v>
      </c>
      <c r="F464" s="24" t="str">
        <f t="shared" si="49"/>
        <v>2024-2</v>
      </c>
      <c r="O464" t="s">
        <v>8</v>
      </c>
      <c r="P464" t="s">
        <v>325</v>
      </c>
      <c r="Q464">
        <v>5</v>
      </c>
      <c r="AA464">
        <v>48930</v>
      </c>
      <c r="AB464" t="s">
        <v>45</v>
      </c>
      <c r="AD464">
        <f t="shared" si="47"/>
        <v>0</v>
      </c>
      <c r="AE464">
        <f t="shared" si="48"/>
        <v>0</v>
      </c>
      <c r="AG464" t="s">
        <v>8</v>
      </c>
      <c r="AH464" t="s">
        <v>325</v>
      </c>
      <c r="BF464" t="s">
        <v>325</v>
      </c>
      <c r="BG464" t="s">
        <v>8</v>
      </c>
      <c r="BH464">
        <v>5</v>
      </c>
      <c r="BI464" t="s">
        <v>502</v>
      </c>
      <c r="CG464" t="s">
        <v>75</v>
      </c>
      <c r="CH464" t="s">
        <v>45</v>
      </c>
      <c r="CI464">
        <v>48930</v>
      </c>
      <c r="CJ464" t="s">
        <v>501</v>
      </c>
    </row>
    <row r="465" spans="1:88" x14ac:dyDescent="0.25">
      <c r="A465" t="s">
        <v>16</v>
      </c>
      <c r="B465" t="s">
        <v>115</v>
      </c>
      <c r="C465" t="s">
        <v>302</v>
      </c>
      <c r="D465">
        <v>67205</v>
      </c>
      <c r="E465">
        <v>10</v>
      </c>
      <c r="F465" s="24" t="str">
        <f t="shared" si="49"/>
        <v>2024-2</v>
      </c>
      <c r="O465" t="s">
        <v>21</v>
      </c>
      <c r="P465" t="s">
        <v>129</v>
      </c>
      <c r="Q465">
        <v>7</v>
      </c>
      <c r="AA465">
        <v>67205</v>
      </c>
      <c r="AB465" t="s">
        <v>115</v>
      </c>
      <c r="AD465">
        <f t="shared" si="47"/>
        <v>0</v>
      </c>
      <c r="AE465">
        <f t="shared" si="48"/>
        <v>0</v>
      </c>
      <c r="AG465" t="s">
        <v>21</v>
      </c>
      <c r="AH465" t="s">
        <v>129</v>
      </c>
      <c r="BF465" t="s">
        <v>129</v>
      </c>
      <c r="BG465" t="s">
        <v>21</v>
      </c>
      <c r="BH465">
        <v>7</v>
      </c>
      <c r="BI465" t="s">
        <v>502</v>
      </c>
      <c r="CG465" t="s">
        <v>16</v>
      </c>
      <c r="CH465" t="s">
        <v>115</v>
      </c>
      <c r="CI465">
        <v>67205</v>
      </c>
      <c r="CJ465" t="s">
        <v>501</v>
      </c>
    </row>
    <row r="466" spans="1:88" x14ac:dyDescent="0.25">
      <c r="A466" t="s">
        <v>55</v>
      </c>
      <c r="B466" t="s">
        <v>142</v>
      </c>
      <c r="C466" t="s">
        <v>303</v>
      </c>
      <c r="D466">
        <v>14595</v>
      </c>
      <c r="E466">
        <v>7</v>
      </c>
      <c r="F466" s="24" t="str">
        <f t="shared" si="49"/>
        <v>2024-2</v>
      </c>
      <c r="O466" t="s">
        <v>75</v>
      </c>
      <c r="P466" t="s">
        <v>174</v>
      </c>
      <c r="Q466">
        <v>6</v>
      </c>
      <c r="AA466">
        <v>14595</v>
      </c>
      <c r="AB466" t="s">
        <v>142</v>
      </c>
      <c r="AD466">
        <f t="shared" si="47"/>
        <v>0</v>
      </c>
      <c r="AE466">
        <f t="shared" si="48"/>
        <v>0</v>
      </c>
      <c r="AG466" t="s">
        <v>75</v>
      </c>
      <c r="AH466" t="s">
        <v>174</v>
      </c>
      <c r="BF466" t="s">
        <v>174</v>
      </c>
      <c r="BG466" t="s">
        <v>75</v>
      </c>
      <c r="BH466">
        <v>6</v>
      </c>
      <c r="BI466" t="s">
        <v>502</v>
      </c>
      <c r="CG466" t="s">
        <v>55</v>
      </c>
      <c r="CH466" t="s">
        <v>142</v>
      </c>
      <c r="CI466">
        <v>14595</v>
      </c>
      <c r="CJ466" t="s">
        <v>501</v>
      </c>
    </row>
    <row r="467" spans="1:88" x14ac:dyDescent="0.25">
      <c r="A467" t="s">
        <v>10</v>
      </c>
      <c r="B467" t="s">
        <v>152</v>
      </c>
      <c r="C467" t="s">
        <v>303</v>
      </c>
      <c r="D467">
        <v>61071</v>
      </c>
      <c r="E467">
        <v>0</v>
      </c>
      <c r="F467" s="24" t="str">
        <f t="shared" si="49"/>
        <v>2024-2</v>
      </c>
      <c r="O467" t="s">
        <v>29</v>
      </c>
      <c r="P467" t="s">
        <v>116</v>
      </c>
      <c r="Q467">
        <v>5</v>
      </c>
      <c r="AA467">
        <v>61071</v>
      </c>
      <c r="AB467" t="s">
        <v>152</v>
      </c>
      <c r="AD467">
        <f t="shared" si="47"/>
        <v>0</v>
      </c>
      <c r="AE467">
        <f t="shared" si="48"/>
        <v>0</v>
      </c>
      <c r="AG467" t="s">
        <v>29</v>
      </c>
      <c r="AH467" t="s">
        <v>116</v>
      </c>
      <c r="BF467" t="s">
        <v>116</v>
      </c>
      <c r="BG467" t="s">
        <v>29</v>
      </c>
      <c r="BH467">
        <v>5</v>
      </c>
      <c r="BI467" t="s">
        <v>502</v>
      </c>
      <c r="CG467" t="s">
        <v>10</v>
      </c>
      <c r="CH467" t="s">
        <v>152</v>
      </c>
      <c r="CI467">
        <v>61071</v>
      </c>
      <c r="CJ467" t="s">
        <v>501</v>
      </c>
    </row>
    <row r="468" spans="1:88" x14ac:dyDescent="0.25">
      <c r="A468" t="s">
        <v>53</v>
      </c>
      <c r="B468" t="s">
        <v>58</v>
      </c>
      <c r="C468" t="s">
        <v>303</v>
      </c>
      <c r="D468">
        <v>52970</v>
      </c>
      <c r="E468">
        <v>7</v>
      </c>
      <c r="F468" s="24" t="str">
        <f t="shared" si="49"/>
        <v>2024-2</v>
      </c>
      <c r="O468" t="s">
        <v>5</v>
      </c>
      <c r="P468" t="s">
        <v>255</v>
      </c>
      <c r="Q468">
        <v>3</v>
      </c>
      <c r="AA468">
        <v>52970</v>
      </c>
      <c r="AB468" t="s">
        <v>58</v>
      </c>
      <c r="AD468">
        <f t="shared" si="47"/>
        <v>0</v>
      </c>
      <c r="AE468">
        <f t="shared" si="48"/>
        <v>0</v>
      </c>
      <c r="AG468" t="s">
        <v>5</v>
      </c>
      <c r="AH468" t="s">
        <v>255</v>
      </c>
      <c r="BF468" t="s">
        <v>255</v>
      </c>
      <c r="BG468" t="s">
        <v>5</v>
      </c>
      <c r="BH468">
        <v>3</v>
      </c>
      <c r="BI468" t="s">
        <v>502</v>
      </c>
      <c r="CG468" t="s">
        <v>53</v>
      </c>
      <c r="CH468" t="s">
        <v>58</v>
      </c>
      <c r="CI468">
        <v>52970</v>
      </c>
      <c r="CJ468" t="s">
        <v>501</v>
      </c>
    </row>
    <row r="469" spans="1:88" x14ac:dyDescent="0.25">
      <c r="A469" t="s">
        <v>21</v>
      </c>
      <c r="B469" t="s">
        <v>160</v>
      </c>
      <c r="C469" t="s">
        <v>304</v>
      </c>
      <c r="D469">
        <v>36383</v>
      </c>
      <c r="E469">
        <v>5</v>
      </c>
      <c r="F469" s="24" t="str">
        <f t="shared" si="49"/>
        <v>2024-2</v>
      </c>
      <c r="O469" t="s">
        <v>10</v>
      </c>
      <c r="P469" t="s">
        <v>159</v>
      </c>
      <c r="Q469">
        <v>4</v>
      </c>
      <c r="AA469">
        <v>36383</v>
      </c>
      <c r="AB469" t="s">
        <v>160</v>
      </c>
      <c r="AD469">
        <f t="shared" si="47"/>
        <v>0</v>
      </c>
      <c r="AE469">
        <f t="shared" si="48"/>
        <v>0</v>
      </c>
      <c r="AG469" t="s">
        <v>10</v>
      </c>
      <c r="AH469" t="s">
        <v>159</v>
      </c>
      <c r="BF469" t="s">
        <v>159</v>
      </c>
      <c r="BG469" t="s">
        <v>10</v>
      </c>
      <c r="BH469">
        <v>4</v>
      </c>
      <c r="BI469" t="s">
        <v>502</v>
      </c>
      <c r="CG469" t="s">
        <v>21</v>
      </c>
      <c r="CH469" t="s">
        <v>160</v>
      </c>
      <c r="CI469">
        <v>36383</v>
      </c>
      <c r="CJ469" t="s">
        <v>501</v>
      </c>
    </row>
    <row r="470" spans="1:88" x14ac:dyDescent="0.25">
      <c r="A470" t="s">
        <v>14</v>
      </c>
      <c r="B470" t="s">
        <v>69</v>
      </c>
      <c r="C470" t="s">
        <v>304</v>
      </c>
      <c r="D470">
        <v>51721</v>
      </c>
      <c r="E470">
        <v>7</v>
      </c>
      <c r="F470" s="24" t="str">
        <f t="shared" si="49"/>
        <v>2024-2</v>
      </c>
      <c r="O470" t="s">
        <v>5</v>
      </c>
      <c r="P470" t="s">
        <v>34</v>
      </c>
      <c r="Q470">
        <v>1</v>
      </c>
      <c r="AA470">
        <v>51721</v>
      </c>
      <c r="AB470" t="s">
        <v>69</v>
      </c>
      <c r="AD470">
        <f t="shared" si="47"/>
        <v>0</v>
      </c>
      <c r="AE470">
        <f t="shared" si="48"/>
        <v>0</v>
      </c>
      <c r="AG470" t="s">
        <v>5</v>
      </c>
      <c r="AH470" t="s">
        <v>34</v>
      </c>
      <c r="BF470" t="s">
        <v>34</v>
      </c>
      <c r="BG470" t="s">
        <v>5</v>
      </c>
      <c r="BH470">
        <v>1</v>
      </c>
      <c r="BI470" t="s">
        <v>502</v>
      </c>
      <c r="CG470" t="s">
        <v>14</v>
      </c>
      <c r="CH470" t="s">
        <v>69</v>
      </c>
      <c r="CI470">
        <v>51721</v>
      </c>
      <c r="CJ470" t="s">
        <v>501</v>
      </c>
    </row>
    <row r="471" spans="1:88" x14ac:dyDescent="0.25">
      <c r="A471" t="s">
        <v>14</v>
      </c>
      <c r="B471" t="s">
        <v>171</v>
      </c>
      <c r="C471" t="s">
        <v>304</v>
      </c>
      <c r="D471">
        <v>19403</v>
      </c>
      <c r="E471">
        <v>10</v>
      </c>
      <c r="F471" s="24" t="str">
        <f t="shared" si="49"/>
        <v>2024-2</v>
      </c>
      <c r="O471" t="s">
        <v>35</v>
      </c>
      <c r="P471" t="s">
        <v>43</v>
      </c>
      <c r="Q471">
        <v>7</v>
      </c>
      <c r="AA471">
        <v>19403</v>
      </c>
      <c r="AB471" t="s">
        <v>171</v>
      </c>
      <c r="AD471">
        <f t="shared" si="47"/>
        <v>0</v>
      </c>
      <c r="AE471">
        <f t="shared" si="48"/>
        <v>0</v>
      </c>
      <c r="AG471" t="s">
        <v>35</v>
      </c>
      <c r="AH471" t="s">
        <v>43</v>
      </c>
      <c r="BF471" t="s">
        <v>43</v>
      </c>
      <c r="BG471" t="s">
        <v>35</v>
      </c>
      <c r="BH471">
        <v>7</v>
      </c>
      <c r="BI471" t="s">
        <v>502</v>
      </c>
      <c r="CG471" t="s">
        <v>14</v>
      </c>
      <c r="CH471" t="s">
        <v>171</v>
      </c>
      <c r="CI471">
        <v>19403</v>
      </c>
      <c r="CJ471" t="s">
        <v>501</v>
      </c>
    </row>
    <row r="472" spans="1:88" x14ac:dyDescent="0.25">
      <c r="A472" t="s">
        <v>29</v>
      </c>
      <c r="B472" t="s">
        <v>305</v>
      </c>
      <c r="C472" t="s">
        <v>304</v>
      </c>
      <c r="D472">
        <v>96732</v>
      </c>
      <c r="E472">
        <v>2</v>
      </c>
      <c r="F472" s="24" t="str">
        <f t="shared" si="49"/>
        <v>2024-2</v>
      </c>
      <c r="O472" t="s">
        <v>29</v>
      </c>
      <c r="P472" t="s">
        <v>172</v>
      </c>
      <c r="Q472">
        <v>9</v>
      </c>
      <c r="AA472">
        <v>96732</v>
      </c>
      <c r="AB472" t="s">
        <v>305</v>
      </c>
      <c r="AD472">
        <f t="shared" si="47"/>
        <v>0</v>
      </c>
      <c r="AE472">
        <f t="shared" si="48"/>
        <v>0</v>
      </c>
      <c r="AG472" t="s">
        <v>29</v>
      </c>
      <c r="AH472" t="s">
        <v>172</v>
      </c>
      <c r="BF472" t="s">
        <v>172</v>
      </c>
      <c r="BG472" t="s">
        <v>29</v>
      </c>
      <c r="BH472">
        <v>9</v>
      </c>
      <c r="BI472" t="s">
        <v>502</v>
      </c>
      <c r="CG472" t="s">
        <v>29</v>
      </c>
      <c r="CH472" t="s">
        <v>305</v>
      </c>
      <c r="CI472">
        <v>96732</v>
      </c>
      <c r="CJ472" t="s">
        <v>501</v>
      </c>
    </row>
    <row r="473" spans="1:88" x14ac:dyDescent="0.25">
      <c r="A473" t="s">
        <v>35</v>
      </c>
      <c r="B473" t="s">
        <v>306</v>
      </c>
      <c r="C473" t="s">
        <v>304</v>
      </c>
      <c r="D473">
        <v>60136</v>
      </c>
      <c r="E473">
        <v>10</v>
      </c>
      <c r="F473" s="24" t="str">
        <f t="shared" si="49"/>
        <v>2024-2</v>
      </c>
      <c r="O473" t="s">
        <v>10</v>
      </c>
      <c r="P473" t="s">
        <v>192</v>
      </c>
      <c r="Q473">
        <v>7</v>
      </c>
      <c r="AA473">
        <v>60136</v>
      </c>
      <c r="AB473" t="s">
        <v>306</v>
      </c>
      <c r="AD473">
        <f t="shared" si="47"/>
        <v>0</v>
      </c>
      <c r="AE473">
        <f t="shared" si="48"/>
        <v>0</v>
      </c>
      <c r="AG473" t="s">
        <v>10</v>
      </c>
      <c r="AH473" t="s">
        <v>192</v>
      </c>
      <c r="BF473" t="s">
        <v>192</v>
      </c>
      <c r="BG473" t="s">
        <v>10</v>
      </c>
      <c r="BH473">
        <v>7</v>
      </c>
      <c r="BI473" t="s">
        <v>502</v>
      </c>
      <c r="CG473" t="s">
        <v>35</v>
      </c>
      <c r="CH473" t="s">
        <v>306</v>
      </c>
      <c r="CI473">
        <v>60136</v>
      </c>
      <c r="CJ473" t="s">
        <v>501</v>
      </c>
    </row>
    <row r="474" spans="1:88" x14ac:dyDescent="0.25">
      <c r="A474" t="s">
        <v>35</v>
      </c>
      <c r="B474" t="s">
        <v>180</v>
      </c>
      <c r="C474" t="s">
        <v>307</v>
      </c>
      <c r="D474">
        <v>61810</v>
      </c>
      <c r="E474">
        <v>4</v>
      </c>
      <c r="F474" s="24" t="str">
        <f t="shared" si="49"/>
        <v>2024-2</v>
      </c>
      <c r="O474" t="s">
        <v>16</v>
      </c>
      <c r="P474" t="s">
        <v>255</v>
      </c>
      <c r="Q474">
        <v>9</v>
      </c>
      <c r="AA474">
        <v>61810</v>
      </c>
      <c r="AB474" t="s">
        <v>180</v>
      </c>
      <c r="AD474">
        <f t="shared" si="47"/>
        <v>0</v>
      </c>
      <c r="AE474">
        <f t="shared" si="48"/>
        <v>0</v>
      </c>
      <c r="AG474" t="s">
        <v>16</v>
      </c>
      <c r="AH474" t="s">
        <v>255</v>
      </c>
      <c r="BF474" t="s">
        <v>255</v>
      </c>
      <c r="BG474" t="s">
        <v>16</v>
      </c>
      <c r="BH474">
        <v>9</v>
      </c>
      <c r="BI474" t="s">
        <v>502</v>
      </c>
      <c r="CG474" t="s">
        <v>35</v>
      </c>
      <c r="CH474" t="s">
        <v>180</v>
      </c>
      <c r="CI474">
        <v>61810</v>
      </c>
      <c r="CJ474" t="s">
        <v>501</v>
      </c>
    </row>
    <row r="475" spans="1:88" x14ac:dyDescent="0.25">
      <c r="A475" t="s">
        <v>29</v>
      </c>
      <c r="B475" t="s">
        <v>100</v>
      </c>
      <c r="C475" t="s">
        <v>307</v>
      </c>
      <c r="D475">
        <v>92045</v>
      </c>
      <c r="E475">
        <v>4</v>
      </c>
      <c r="F475" s="24" t="str">
        <f t="shared" si="49"/>
        <v>2024-2</v>
      </c>
      <c r="O475" t="s">
        <v>29</v>
      </c>
      <c r="P475" t="s">
        <v>170</v>
      </c>
      <c r="Q475">
        <v>5</v>
      </c>
      <c r="AA475">
        <v>92045</v>
      </c>
      <c r="AB475" t="s">
        <v>100</v>
      </c>
      <c r="AD475">
        <f t="shared" si="47"/>
        <v>0</v>
      </c>
      <c r="AE475">
        <f t="shared" si="48"/>
        <v>0</v>
      </c>
      <c r="AG475" t="s">
        <v>29</v>
      </c>
      <c r="AH475" t="s">
        <v>170</v>
      </c>
      <c r="BF475" t="s">
        <v>170</v>
      </c>
      <c r="BG475" t="s">
        <v>29</v>
      </c>
      <c r="BH475">
        <v>5</v>
      </c>
      <c r="BI475" t="s">
        <v>502</v>
      </c>
      <c r="CG475" t="s">
        <v>29</v>
      </c>
      <c r="CH475" t="s">
        <v>100</v>
      </c>
      <c r="CI475">
        <v>92045</v>
      </c>
      <c r="CJ475" t="s">
        <v>501</v>
      </c>
    </row>
    <row r="476" spans="1:88" x14ac:dyDescent="0.25">
      <c r="A476" t="s">
        <v>35</v>
      </c>
      <c r="B476" t="s">
        <v>196</v>
      </c>
      <c r="C476" t="s">
        <v>307</v>
      </c>
      <c r="D476">
        <v>13394</v>
      </c>
      <c r="E476">
        <v>8</v>
      </c>
      <c r="F476" s="24" t="str">
        <f t="shared" si="49"/>
        <v>2024-2</v>
      </c>
      <c r="O476" t="s">
        <v>21</v>
      </c>
      <c r="P476" t="s">
        <v>327</v>
      </c>
      <c r="Q476">
        <v>8</v>
      </c>
      <c r="AA476">
        <v>13394</v>
      </c>
      <c r="AB476" t="s">
        <v>196</v>
      </c>
      <c r="AD476">
        <f t="shared" si="47"/>
        <v>0</v>
      </c>
      <c r="AE476">
        <f t="shared" si="48"/>
        <v>0</v>
      </c>
      <c r="AG476" t="s">
        <v>21</v>
      </c>
      <c r="AH476" t="s">
        <v>327</v>
      </c>
      <c r="BF476" t="s">
        <v>327</v>
      </c>
      <c r="BG476" t="s">
        <v>21</v>
      </c>
      <c r="BH476">
        <v>8</v>
      </c>
      <c r="BI476" t="s">
        <v>502</v>
      </c>
      <c r="CG476" t="s">
        <v>35</v>
      </c>
      <c r="CH476" t="s">
        <v>196</v>
      </c>
      <c r="CI476">
        <v>13394</v>
      </c>
      <c r="CJ476" t="s">
        <v>501</v>
      </c>
    </row>
    <row r="477" spans="1:88" x14ac:dyDescent="0.25">
      <c r="A477" t="s">
        <v>10</v>
      </c>
      <c r="B477" t="s">
        <v>127</v>
      </c>
      <c r="C477" t="s">
        <v>307</v>
      </c>
      <c r="D477">
        <v>92203</v>
      </c>
      <c r="E477">
        <v>9</v>
      </c>
      <c r="F477" s="24" t="str">
        <f t="shared" si="49"/>
        <v>2024-2</v>
      </c>
      <c r="O477" t="s">
        <v>55</v>
      </c>
      <c r="P477" t="s">
        <v>308</v>
      </c>
      <c r="Q477">
        <v>7</v>
      </c>
      <c r="AA477">
        <v>92203</v>
      </c>
      <c r="AB477" t="s">
        <v>127</v>
      </c>
      <c r="AD477">
        <f t="shared" si="47"/>
        <v>0</v>
      </c>
      <c r="AE477">
        <f t="shared" si="48"/>
        <v>0</v>
      </c>
      <c r="AG477" t="s">
        <v>55</v>
      </c>
      <c r="AH477" t="s">
        <v>308</v>
      </c>
      <c r="BF477" t="s">
        <v>308</v>
      </c>
      <c r="BG477" t="s">
        <v>55</v>
      </c>
      <c r="BH477">
        <v>7</v>
      </c>
      <c r="BI477" t="s">
        <v>502</v>
      </c>
      <c r="CG477" t="s">
        <v>10</v>
      </c>
      <c r="CH477" t="s">
        <v>127</v>
      </c>
      <c r="CI477">
        <v>92203</v>
      </c>
      <c r="CJ477" t="s">
        <v>501</v>
      </c>
    </row>
    <row r="478" spans="1:88" x14ac:dyDescent="0.25">
      <c r="A478" t="s">
        <v>75</v>
      </c>
      <c r="B478" t="s">
        <v>139</v>
      </c>
      <c r="C478" t="s">
        <v>307</v>
      </c>
      <c r="D478">
        <v>34866</v>
      </c>
      <c r="E478">
        <v>7</v>
      </c>
      <c r="F478" s="24" t="str">
        <f t="shared" si="49"/>
        <v>2024-2</v>
      </c>
      <c r="O478" t="s">
        <v>8</v>
      </c>
      <c r="P478" t="s">
        <v>142</v>
      </c>
      <c r="Q478">
        <v>5</v>
      </c>
      <c r="AA478">
        <v>34866</v>
      </c>
      <c r="AB478" t="s">
        <v>139</v>
      </c>
      <c r="AD478">
        <f t="shared" si="47"/>
        <v>0</v>
      </c>
      <c r="AE478">
        <f t="shared" si="48"/>
        <v>0</v>
      </c>
      <c r="AG478" t="s">
        <v>8</v>
      </c>
      <c r="AH478" t="s">
        <v>142</v>
      </c>
      <c r="BF478" t="s">
        <v>142</v>
      </c>
      <c r="BG478" t="s">
        <v>8</v>
      </c>
      <c r="BH478">
        <v>5</v>
      </c>
      <c r="BI478" t="s">
        <v>502</v>
      </c>
      <c r="CG478" t="s">
        <v>75</v>
      </c>
      <c r="CH478" t="s">
        <v>139</v>
      </c>
      <c r="CI478">
        <v>34866</v>
      </c>
      <c r="CJ478" t="s">
        <v>501</v>
      </c>
    </row>
    <row r="479" spans="1:88" x14ac:dyDescent="0.25">
      <c r="A479" t="s">
        <v>10</v>
      </c>
      <c r="B479" t="s">
        <v>6</v>
      </c>
      <c r="C479" t="s">
        <v>307</v>
      </c>
      <c r="D479">
        <v>84212</v>
      </c>
      <c r="E479">
        <v>2</v>
      </c>
      <c r="F479" s="24" t="str">
        <f t="shared" si="49"/>
        <v>2024-2</v>
      </c>
      <c r="O479" t="s">
        <v>35</v>
      </c>
      <c r="P479" t="s">
        <v>325</v>
      </c>
      <c r="Q479">
        <v>2</v>
      </c>
      <c r="AA479">
        <v>84212</v>
      </c>
      <c r="AB479" t="s">
        <v>6</v>
      </c>
      <c r="AD479">
        <f t="shared" si="47"/>
        <v>0</v>
      </c>
      <c r="AE479">
        <f t="shared" si="48"/>
        <v>0</v>
      </c>
      <c r="AG479" t="s">
        <v>35</v>
      </c>
      <c r="AH479" t="s">
        <v>325</v>
      </c>
      <c r="BF479" t="s">
        <v>325</v>
      </c>
      <c r="BG479" t="s">
        <v>35</v>
      </c>
      <c r="BH479">
        <v>2</v>
      </c>
      <c r="BI479" t="s">
        <v>502</v>
      </c>
      <c r="CG479" t="s">
        <v>10</v>
      </c>
      <c r="CH479" t="s">
        <v>6</v>
      </c>
      <c r="CI479">
        <v>84212</v>
      </c>
      <c r="CJ479" t="s">
        <v>501</v>
      </c>
    </row>
    <row r="480" spans="1:88" x14ac:dyDescent="0.25">
      <c r="A480" t="s">
        <v>29</v>
      </c>
      <c r="B480" t="s">
        <v>112</v>
      </c>
      <c r="C480" t="s">
        <v>307</v>
      </c>
      <c r="D480">
        <v>48505</v>
      </c>
      <c r="E480">
        <v>7</v>
      </c>
      <c r="F480" s="24" t="str">
        <f t="shared" si="49"/>
        <v>2024-2</v>
      </c>
      <c r="O480" t="s">
        <v>14</v>
      </c>
      <c r="P480" t="s">
        <v>112</v>
      </c>
      <c r="Q480">
        <v>6</v>
      </c>
      <c r="AA480">
        <v>48505</v>
      </c>
      <c r="AB480" t="s">
        <v>112</v>
      </c>
      <c r="AD480">
        <f t="shared" si="47"/>
        <v>0</v>
      </c>
      <c r="AE480">
        <f t="shared" si="48"/>
        <v>0</v>
      </c>
      <c r="AG480" t="s">
        <v>14</v>
      </c>
      <c r="AH480" t="s">
        <v>112</v>
      </c>
      <c r="BF480" t="s">
        <v>112</v>
      </c>
      <c r="BG480" t="s">
        <v>14</v>
      </c>
      <c r="BH480">
        <v>6</v>
      </c>
      <c r="BI480" t="s">
        <v>502</v>
      </c>
      <c r="CG480" t="s">
        <v>29</v>
      </c>
      <c r="CH480" t="s">
        <v>112</v>
      </c>
      <c r="CI480">
        <v>48505</v>
      </c>
      <c r="CJ480" t="s">
        <v>501</v>
      </c>
    </row>
    <row r="481" spans="1:88" x14ac:dyDescent="0.25">
      <c r="A481" t="s">
        <v>75</v>
      </c>
      <c r="B481" t="s">
        <v>234</v>
      </c>
      <c r="C481" t="s">
        <v>307</v>
      </c>
      <c r="D481">
        <v>77246</v>
      </c>
      <c r="E481">
        <v>8</v>
      </c>
      <c r="F481" s="24" t="str">
        <f t="shared" si="49"/>
        <v>2024-2</v>
      </c>
      <c r="O481" t="s">
        <v>35</v>
      </c>
      <c r="P481" t="s">
        <v>193</v>
      </c>
      <c r="Q481">
        <v>8</v>
      </c>
      <c r="AA481">
        <v>77246</v>
      </c>
      <c r="AB481" t="s">
        <v>234</v>
      </c>
      <c r="AD481">
        <f t="shared" si="47"/>
        <v>0</v>
      </c>
      <c r="AE481">
        <f t="shared" si="48"/>
        <v>0</v>
      </c>
      <c r="AG481" t="s">
        <v>35</v>
      </c>
      <c r="AH481" t="s">
        <v>193</v>
      </c>
      <c r="BF481" t="s">
        <v>193</v>
      </c>
      <c r="BG481" t="s">
        <v>35</v>
      </c>
      <c r="BH481">
        <v>8</v>
      </c>
      <c r="BI481" t="s">
        <v>502</v>
      </c>
      <c r="CG481" t="s">
        <v>75</v>
      </c>
      <c r="CH481" t="s">
        <v>234</v>
      </c>
      <c r="CI481">
        <v>77246</v>
      </c>
      <c r="CJ481" t="s">
        <v>501</v>
      </c>
    </row>
    <row r="482" spans="1:88" x14ac:dyDescent="0.25">
      <c r="A482" t="s">
        <v>10</v>
      </c>
      <c r="B482" t="s">
        <v>308</v>
      </c>
      <c r="C482" t="s">
        <v>307</v>
      </c>
      <c r="D482">
        <v>88375</v>
      </c>
      <c r="E482">
        <v>7</v>
      </c>
      <c r="F482" s="24" t="str">
        <f t="shared" si="49"/>
        <v>2024-2</v>
      </c>
      <c r="O482" t="s">
        <v>53</v>
      </c>
      <c r="P482" t="s">
        <v>94</v>
      </c>
      <c r="Q482">
        <v>10</v>
      </c>
      <c r="AA482">
        <v>88375</v>
      </c>
      <c r="AB482" t="s">
        <v>308</v>
      </c>
      <c r="AD482">
        <f t="shared" si="47"/>
        <v>0</v>
      </c>
      <c r="AE482">
        <f t="shared" si="48"/>
        <v>0</v>
      </c>
      <c r="AG482" t="s">
        <v>53</v>
      </c>
      <c r="AH482" t="s">
        <v>94</v>
      </c>
      <c r="BF482" t="s">
        <v>94</v>
      </c>
      <c r="BG482" t="s">
        <v>53</v>
      </c>
      <c r="BH482">
        <v>10</v>
      </c>
      <c r="BI482" t="s">
        <v>502</v>
      </c>
      <c r="CG482" t="s">
        <v>10</v>
      </c>
      <c r="CH482" t="s">
        <v>308</v>
      </c>
      <c r="CI482">
        <v>88375</v>
      </c>
      <c r="CJ482" t="s">
        <v>501</v>
      </c>
    </row>
    <row r="483" spans="1:88" x14ac:dyDescent="0.25">
      <c r="A483" t="s">
        <v>8</v>
      </c>
      <c r="B483" t="s">
        <v>135</v>
      </c>
      <c r="C483" t="s">
        <v>309</v>
      </c>
      <c r="D483">
        <v>77646</v>
      </c>
      <c r="E483">
        <v>5</v>
      </c>
      <c r="F483" s="24" t="str">
        <f t="shared" si="49"/>
        <v>2024-2</v>
      </c>
      <c r="O483" t="s">
        <v>37</v>
      </c>
      <c r="P483" t="s">
        <v>151</v>
      </c>
      <c r="Q483">
        <v>3</v>
      </c>
      <c r="AA483">
        <v>77646</v>
      </c>
      <c r="AB483" t="s">
        <v>135</v>
      </c>
      <c r="AD483">
        <f t="shared" si="47"/>
        <v>0</v>
      </c>
      <c r="AE483">
        <f t="shared" si="48"/>
        <v>0</v>
      </c>
      <c r="AG483" t="s">
        <v>37</v>
      </c>
      <c r="AH483" t="s">
        <v>151</v>
      </c>
      <c r="BF483" t="s">
        <v>151</v>
      </c>
      <c r="BG483" t="s">
        <v>37</v>
      </c>
      <c r="BH483">
        <v>3</v>
      </c>
      <c r="BI483" t="s">
        <v>502</v>
      </c>
      <c r="CG483" t="s">
        <v>8</v>
      </c>
      <c r="CH483" t="s">
        <v>135</v>
      </c>
      <c r="CI483">
        <v>77646</v>
      </c>
      <c r="CJ483" t="s">
        <v>501</v>
      </c>
    </row>
    <row r="484" spans="1:88" x14ac:dyDescent="0.25">
      <c r="A484" t="s">
        <v>5</v>
      </c>
      <c r="B484" t="s">
        <v>220</v>
      </c>
      <c r="C484" t="s">
        <v>310</v>
      </c>
      <c r="D484">
        <v>43602</v>
      </c>
      <c r="E484">
        <v>7</v>
      </c>
      <c r="F484" s="24" t="str">
        <f t="shared" si="49"/>
        <v>2024-2</v>
      </c>
      <c r="O484" t="s">
        <v>37</v>
      </c>
      <c r="P484" t="s">
        <v>82</v>
      </c>
      <c r="Q484">
        <v>9</v>
      </c>
      <c r="AA484">
        <v>43602</v>
      </c>
      <c r="AB484" t="s">
        <v>220</v>
      </c>
      <c r="AD484">
        <f t="shared" si="47"/>
        <v>0</v>
      </c>
      <c r="AE484">
        <f t="shared" si="48"/>
        <v>0</v>
      </c>
      <c r="AG484" t="s">
        <v>37</v>
      </c>
      <c r="AH484" t="s">
        <v>82</v>
      </c>
      <c r="BF484" t="s">
        <v>82</v>
      </c>
      <c r="BG484" t="s">
        <v>37</v>
      </c>
      <c r="BH484">
        <v>9</v>
      </c>
      <c r="BI484" t="s">
        <v>502</v>
      </c>
      <c r="CG484" t="s">
        <v>5</v>
      </c>
      <c r="CH484" t="s">
        <v>220</v>
      </c>
      <c r="CI484">
        <v>43602</v>
      </c>
      <c r="CJ484" t="s">
        <v>501</v>
      </c>
    </row>
    <row r="485" spans="1:88" x14ac:dyDescent="0.25">
      <c r="A485" t="s">
        <v>55</v>
      </c>
      <c r="B485" t="s">
        <v>119</v>
      </c>
      <c r="C485" t="s">
        <v>310</v>
      </c>
      <c r="D485">
        <v>80191</v>
      </c>
      <c r="E485">
        <v>8</v>
      </c>
      <c r="F485" s="24" t="str">
        <f t="shared" si="49"/>
        <v>2024-2</v>
      </c>
      <c r="O485" t="s">
        <v>16</v>
      </c>
      <c r="P485" t="s">
        <v>98</v>
      </c>
      <c r="Q485">
        <v>7</v>
      </c>
      <c r="AA485">
        <v>80191</v>
      </c>
      <c r="AB485" t="s">
        <v>119</v>
      </c>
      <c r="AD485">
        <f t="shared" si="47"/>
        <v>0</v>
      </c>
      <c r="AE485">
        <f t="shared" si="48"/>
        <v>0</v>
      </c>
      <c r="AG485" t="s">
        <v>16</v>
      </c>
      <c r="AH485" t="s">
        <v>98</v>
      </c>
      <c r="BF485" t="s">
        <v>98</v>
      </c>
      <c r="BG485" t="s">
        <v>16</v>
      </c>
      <c r="BH485">
        <v>7</v>
      </c>
      <c r="BI485" t="s">
        <v>502</v>
      </c>
      <c r="CG485" t="s">
        <v>55</v>
      </c>
      <c r="CH485" t="s">
        <v>119</v>
      </c>
      <c r="CI485">
        <v>80191</v>
      </c>
      <c r="CJ485" t="s">
        <v>501</v>
      </c>
    </row>
    <row r="486" spans="1:88" x14ac:dyDescent="0.25">
      <c r="A486" t="s">
        <v>29</v>
      </c>
      <c r="B486" t="s">
        <v>125</v>
      </c>
      <c r="C486" t="s">
        <v>311</v>
      </c>
      <c r="D486">
        <v>95064</v>
      </c>
      <c r="E486">
        <v>6</v>
      </c>
      <c r="F486" s="24" t="str">
        <f t="shared" si="49"/>
        <v>2024-2</v>
      </c>
      <c r="O486" t="s">
        <v>29</v>
      </c>
      <c r="P486" t="s">
        <v>181</v>
      </c>
      <c r="Q486">
        <v>7</v>
      </c>
      <c r="AA486">
        <v>95064</v>
      </c>
      <c r="AB486" t="s">
        <v>125</v>
      </c>
      <c r="AD486">
        <f t="shared" si="47"/>
        <v>0</v>
      </c>
      <c r="AE486">
        <f t="shared" si="48"/>
        <v>0</v>
      </c>
      <c r="AG486" t="s">
        <v>29</v>
      </c>
      <c r="AH486" t="s">
        <v>181</v>
      </c>
      <c r="BF486" t="s">
        <v>181</v>
      </c>
      <c r="BG486" t="s">
        <v>29</v>
      </c>
      <c r="BH486">
        <v>7</v>
      </c>
      <c r="BI486" t="s">
        <v>502</v>
      </c>
      <c r="CG486" t="s">
        <v>29</v>
      </c>
      <c r="CH486" t="s">
        <v>125</v>
      </c>
      <c r="CI486">
        <v>95064</v>
      </c>
      <c r="CJ486" t="s">
        <v>501</v>
      </c>
    </row>
    <row r="487" spans="1:88" x14ac:dyDescent="0.25">
      <c r="A487" t="s">
        <v>8</v>
      </c>
      <c r="B487" t="s">
        <v>301</v>
      </c>
      <c r="C487" t="s">
        <v>312</v>
      </c>
      <c r="D487">
        <v>57933</v>
      </c>
      <c r="E487">
        <v>5</v>
      </c>
      <c r="F487" s="24" t="str">
        <f t="shared" si="49"/>
        <v>2024-2</v>
      </c>
      <c r="O487" t="s">
        <v>14</v>
      </c>
      <c r="P487" t="s">
        <v>197</v>
      </c>
      <c r="Q487">
        <v>8</v>
      </c>
      <c r="AA487">
        <v>57933</v>
      </c>
      <c r="AB487" t="s">
        <v>301</v>
      </c>
      <c r="AD487">
        <f t="shared" si="47"/>
        <v>0</v>
      </c>
      <c r="AE487">
        <f t="shared" si="48"/>
        <v>0</v>
      </c>
      <c r="AG487" t="s">
        <v>14</v>
      </c>
      <c r="AH487" t="s">
        <v>197</v>
      </c>
      <c r="BF487" t="s">
        <v>197</v>
      </c>
      <c r="BG487" t="s">
        <v>14</v>
      </c>
      <c r="BH487">
        <v>8</v>
      </c>
      <c r="BI487" t="s">
        <v>502</v>
      </c>
      <c r="CG487" t="s">
        <v>8</v>
      </c>
      <c r="CH487" t="s">
        <v>301</v>
      </c>
      <c r="CI487">
        <v>57933</v>
      </c>
      <c r="CJ487" t="s">
        <v>501</v>
      </c>
    </row>
    <row r="488" spans="1:88" x14ac:dyDescent="0.25">
      <c r="A488" t="s">
        <v>53</v>
      </c>
      <c r="B488" t="s">
        <v>129</v>
      </c>
      <c r="C488" t="s">
        <v>312</v>
      </c>
      <c r="D488">
        <v>33785</v>
      </c>
      <c r="E488">
        <v>8</v>
      </c>
      <c r="F488" s="24" t="str">
        <f t="shared" si="49"/>
        <v>2024-2</v>
      </c>
      <c r="O488" t="s">
        <v>14</v>
      </c>
      <c r="P488" t="s">
        <v>46</v>
      </c>
      <c r="Q488">
        <v>10</v>
      </c>
      <c r="AA488">
        <v>33785</v>
      </c>
      <c r="AB488" t="s">
        <v>129</v>
      </c>
      <c r="AD488">
        <f t="shared" si="47"/>
        <v>0</v>
      </c>
      <c r="AE488">
        <f t="shared" si="48"/>
        <v>0</v>
      </c>
      <c r="AG488" t="s">
        <v>14</v>
      </c>
      <c r="AH488" t="s">
        <v>46</v>
      </c>
      <c r="BF488" t="s">
        <v>46</v>
      </c>
      <c r="BG488" t="s">
        <v>14</v>
      </c>
      <c r="BH488">
        <v>10</v>
      </c>
      <c r="BI488" t="s">
        <v>502</v>
      </c>
      <c r="CG488" t="s">
        <v>53</v>
      </c>
      <c r="CH488" t="s">
        <v>129</v>
      </c>
      <c r="CI488">
        <v>33785</v>
      </c>
      <c r="CJ488" t="s">
        <v>501</v>
      </c>
    </row>
    <row r="489" spans="1:88" x14ac:dyDescent="0.25">
      <c r="A489" t="s">
        <v>53</v>
      </c>
      <c r="B489" t="s">
        <v>109</v>
      </c>
      <c r="C489" t="s">
        <v>312</v>
      </c>
      <c r="D489">
        <v>61649</v>
      </c>
      <c r="E489">
        <v>5</v>
      </c>
      <c r="F489" s="24" t="str">
        <f t="shared" si="49"/>
        <v>2024-2</v>
      </c>
      <c r="O489" t="s">
        <v>10</v>
      </c>
      <c r="P489" t="s">
        <v>27</v>
      </c>
      <c r="Q489">
        <v>7</v>
      </c>
      <c r="AA489">
        <v>61649</v>
      </c>
      <c r="AB489" t="s">
        <v>109</v>
      </c>
      <c r="AD489">
        <f t="shared" si="47"/>
        <v>0</v>
      </c>
      <c r="AE489">
        <f t="shared" si="48"/>
        <v>0</v>
      </c>
      <c r="AG489" t="s">
        <v>10</v>
      </c>
      <c r="AH489" t="s">
        <v>27</v>
      </c>
      <c r="BF489" t="s">
        <v>27</v>
      </c>
      <c r="BG489" t="s">
        <v>10</v>
      </c>
      <c r="BH489">
        <v>7</v>
      </c>
      <c r="BI489" t="s">
        <v>502</v>
      </c>
      <c r="CG489" t="s">
        <v>53</v>
      </c>
      <c r="CH489" t="s">
        <v>109</v>
      </c>
      <c r="CI489">
        <v>61649</v>
      </c>
      <c r="CJ489" t="s">
        <v>501</v>
      </c>
    </row>
    <row r="490" spans="1:88" x14ac:dyDescent="0.25">
      <c r="A490" t="s">
        <v>37</v>
      </c>
      <c r="B490" t="s">
        <v>86</v>
      </c>
      <c r="C490" t="s">
        <v>312</v>
      </c>
      <c r="D490">
        <v>21357</v>
      </c>
      <c r="E490">
        <v>7</v>
      </c>
      <c r="F490" s="24" t="str">
        <f t="shared" si="49"/>
        <v>2024-2</v>
      </c>
      <c r="O490" t="s">
        <v>55</v>
      </c>
      <c r="P490" t="s">
        <v>209</v>
      </c>
      <c r="Q490">
        <v>6</v>
      </c>
      <c r="AA490">
        <v>21357</v>
      </c>
      <c r="AB490" t="s">
        <v>86</v>
      </c>
      <c r="AD490">
        <f t="shared" si="47"/>
        <v>0</v>
      </c>
      <c r="AE490">
        <f t="shared" si="48"/>
        <v>0</v>
      </c>
      <c r="AG490" t="s">
        <v>55</v>
      </c>
      <c r="AH490" t="s">
        <v>209</v>
      </c>
      <c r="BF490" t="s">
        <v>209</v>
      </c>
      <c r="BG490" t="s">
        <v>55</v>
      </c>
      <c r="BH490">
        <v>6</v>
      </c>
      <c r="BI490" t="s">
        <v>502</v>
      </c>
      <c r="CG490" t="s">
        <v>37</v>
      </c>
      <c r="CH490" t="s">
        <v>86</v>
      </c>
      <c r="CI490">
        <v>21357</v>
      </c>
      <c r="CJ490" t="s">
        <v>501</v>
      </c>
    </row>
    <row r="491" spans="1:88" x14ac:dyDescent="0.25">
      <c r="A491" t="s">
        <v>21</v>
      </c>
      <c r="B491" t="s">
        <v>130</v>
      </c>
      <c r="C491" t="s">
        <v>312</v>
      </c>
      <c r="D491">
        <v>35709</v>
      </c>
      <c r="E491">
        <v>3</v>
      </c>
      <c r="F491" s="24" t="str">
        <f t="shared" si="49"/>
        <v>2024-2</v>
      </c>
      <c r="O491" t="s">
        <v>14</v>
      </c>
      <c r="P491" t="s">
        <v>130</v>
      </c>
      <c r="Q491">
        <v>4</v>
      </c>
      <c r="AA491">
        <v>35709</v>
      </c>
      <c r="AB491" t="s">
        <v>130</v>
      </c>
      <c r="AD491">
        <f t="shared" si="47"/>
        <v>0</v>
      </c>
      <c r="AE491">
        <f t="shared" si="48"/>
        <v>0</v>
      </c>
      <c r="AG491" t="s">
        <v>14</v>
      </c>
      <c r="AH491" t="s">
        <v>130</v>
      </c>
      <c r="BF491" t="s">
        <v>130</v>
      </c>
      <c r="BG491" t="s">
        <v>14</v>
      </c>
      <c r="BH491">
        <v>4</v>
      </c>
      <c r="BI491" t="s">
        <v>502</v>
      </c>
      <c r="CG491" t="s">
        <v>21</v>
      </c>
      <c r="CH491" t="s">
        <v>130</v>
      </c>
      <c r="CI491">
        <v>35709</v>
      </c>
      <c r="CJ491" t="s">
        <v>501</v>
      </c>
    </row>
    <row r="492" spans="1:88" x14ac:dyDescent="0.25">
      <c r="A492" t="s">
        <v>37</v>
      </c>
      <c r="B492" t="s">
        <v>127</v>
      </c>
      <c r="C492" t="s">
        <v>313</v>
      </c>
      <c r="D492">
        <v>89760</v>
      </c>
      <c r="E492">
        <v>7</v>
      </c>
      <c r="F492" s="24" t="str">
        <f t="shared" si="49"/>
        <v>2024-2</v>
      </c>
      <c r="O492" t="s">
        <v>21</v>
      </c>
      <c r="P492" t="s">
        <v>214</v>
      </c>
      <c r="Q492">
        <v>4</v>
      </c>
      <c r="AA492">
        <v>89760</v>
      </c>
      <c r="AB492" t="s">
        <v>127</v>
      </c>
      <c r="AD492">
        <f t="shared" si="47"/>
        <v>0</v>
      </c>
      <c r="AE492">
        <f t="shared" si="48"/>
        <v>0</v>
      </c>
      <c r="AG492" t="s">
        <v>21</v>
      </c>
      <c r="AH492" t="s">
        <v>214</v>
      </c>
      <c r="BF492" t="s">
        <v>214</v>
      </c>
      <c r="BG492" t="s">
        <v>21</v>
      </c>
      <c r="BH492">
        <v>4</v>
      </c>
      <c r="BI492" t="s">
        <v>502</v>
      </c>
      <c r="CG492" t="s">
        <v>37</v>
      </c>
      <c r="CH492" t="s">
        <v>127</v>
      </c>
      <c r="CI492">
        <v>89760</v>
      </c>
      <c r="CJ492" t="s">
        <v>501</v>
      </c>
    </row>
    <row r="493" spans="1:88" x14ac:dyDescent="0.25">
      <c r="A493" t="s">
        <v>16</v>
      </c>
      <c r="B493" t="s">
        <v>161</v>
      </c>
      <c r="C493" t="s">
        <v>313</v>
      </c>
      <c r="D493">
        <v>61800</v>
      </c>
      <c r="E493">
        <v>6</v>
      </c>
      <c r="F493" s="24" t="str">
        <f t="shared" si="49"/>
        <v>2024-2</v>
      </c>
      <c r="O493" t="s">
        <v>55</v>
      </c>
      <c r="P493" t="s">
        <v>33</v>
      </c>
      <c r="Q493">
        <v>5</v>
      </c>
      <c r="AA493">
        <v>61800</v>
      </c>
      <c r="AB493" t="s">
        <v>161</v>
      </c>
      <c r="AD493">
        <f t="shared" si="47"/>
        <v>0</v>
      </c>
      <c r="AE493">
        <f t="shared" si="48"/>
        <v>0</v>
      </c>
      <c r="AG493" t="s">
        <v>55</v>
      </c>
      <c r="AH493" t="s">
        <v>33</v>
      </c>
      <c r="BF493" t="s">
        <v>33</v>
      </c>
      <c r="BG493" t="s">
        <v>55</v>
      </c>
      <c r="BH493">
        <v>5</v>
      </c>
      <c r="BI493" t="s">
        <v>502</v>
      </c>
      <c r="CG493" t="s">
        <v>16</v>
      </c>
      <c r="CH493" t="s">
        <v>161</v>
      </c>
      <c r="CI493">
        <v>61800</v>
      </c>
      <c r="CJ493" t="s">
        <v>501</v>
      </c>
    </row>
    <row r="494" spans="1:88" x14ac:dyDescent="0.25">
      <c r="A494" t="s">
        <v>75</v>
      </c>
      <c r="B494" t="s">
        <v>177</v>
      </c>
      <c r="C494" t="s">
        <v>313</v>
      </c>
      <c r="D494">
        <v>84869</v>
      </c>
      <c r="E494">
        <v>5</v>
      </c>
      <c r="F494" s="24" t="str">
        <f t="shared" si="49"/>
        <v>2024-2</v>
      </c>
      <c r="O494" t="s">
        <v>29</v>
      </c>
      <c r="P494" t="s">
        <v>71</v>
      </c>
      <c r="Q494">
        <v>7</v>
      </c>
      <c r="AA494">
        <v>84869</v>
      </c>
      <c r="AB494" t="s">
        <v>177</v>
      </c>
      <c r="AD494">
        <f t="shared" si="47"/>
        <v>0</v>
      </c>
      <c r="AE494">
        <f t="shared" si="48"/>
        <v>0</v>
      </c>
      <c r="AG494" t="s">
        <v>29</v>
      </c>
      <c r="AH494" t="s">
        <v>71</v>
      </c>
      <c r="BF494" t="s">
        <v>71</v>
      </c>
      <c r="BG494" t="s">
        <v>29</v>
      </c>
      <c r="BH494">
        <v>7</v>
      </c>
      <c r="BI494" t="s">
        <v>502</v>
      </c>
      <c r="CG494" t="s">
        <v>75</v>
      </c>
      <c r="CH494" t="s">
        <v>177</v>
      </c>
      <c r="CI494">
        <v>84869</v>
      </c>
      <c r="CJ494" t="s">
        <v>501</v>
      </c>
    </row>
    <row r="495" spans="1:88" x14ac:dyDescent="0.25">
      <c r="A495" t="s">
        <v>5</v>
      </c>
      <c r="B495" t="s">
        <v>9</v>
      </c>
      <c r="C495" t="s">
        <v>313</v>
      </c>
      <c r="D495">
        <v>67017</v>
      </c>
      <c r="E495">
        <v>4</v>
      </c>
      <c r="F495" s="24" t="str">
        <f t="shared" si="49"/>
        <v>2024-2</v>
      </c>
      <c r="O495" t="s">
        <v>14</v>
      </c>
      <c r="P495" t="s">
        <v>56</v>
      </c>
      <c r="Q495">
        <v>6</v>
      </c>
      <c r="AA495">
        <v>67017</v>
      </c>
      <c r="AB495" t="s">
        <v>9</v>
      </c>
      <c r="AD495">
        <f t="shared" si="47"/>
        <v>0</v>
      </c>
      <c r="AE495">
        <f t="shared" si="48"/>
        <v>0</v>
      </c>
      <c r="AG495" t="s">
        <v>14</v>
      </c>
      <c r="AH495" t="s">
        <v>56</v>
      </c>
      <c r="BF495" t="s">
        <v>56</v>
      </c>
      <c r="BG495" t="s">
        <v>14</v>
      </c>
      <c r="BH495">
        <v>6</v>
      </c>
      <c r="BI495" t="s">
        <v>502</v>
      </c>
      <c r="CG495" t="s">
        <v>5</v>
      </c>
      <c r="CH495" t="s">
        <v>9</v>
      </c>
      <c r="CI495">
        <v>67017</v>
      </c>
      <c r="CJ495" t="s">
        <v>501</v>
      </c>
    </row>
    <row r="496" spans="1:88" x14ac:dyDescent="0.25">
      <c r="A496" t="s">
        <v>53</v>
      </c>
      <c r="B496" t="s">
        <v>314</v>
      </c>
      <c r="C496" t="s">
        <v>313</v>
      </c>
      <c r="D496">
        <v>68629</v>
      </c>
      <c r="E496">
        <v>10</v>
      </c>
      <c r="F496" s="24" t="str">
        <f t="shared" si="49"/>
        <v>2024-2</v>
      </c>
      <c r="O496" t="s">
        <v>29</v>
      </c>
      <c r="P496" t="s">
        <v>132</v>
      </c>
      <c r="Q496">
        <v>9</v>
      </c>
      <c r="AA496">
        <v>68629</v>
      </c>
      <c r="AB496" t="s">
        <v>314</v>
      </c>
      <c r="AD496">
        <f t="shared" si="47"/>
        <v>0</v>
      </c>
      <c r="AE496">
        <f t="shared" si="48"/>
        <v>0</v>
      </c>
      <c r="AG496" t="s">
        <v>29</v>
      </c>
      <c r="AH496" t="s">
        <v>132</v>
      </c>
      <c r="BF496" t="s">
        <v>132</v>
      </c>
      <c r="BG496" t="s">
        <v>29</v>
      </c>
      <c r="BH496">
        <v>9</v>
      </c>
      <c r="BI496" t="s">
        <v>502</v>
      </c>
      <c r="CG496" t="s">
        <v>53</v>
      </c>
      <c r="CH496" t="s">
        <v>314</v>
      </c>
      <c r="CI496">
        <v>68629</v>
      </c>
      <c r="CJ496" t="s">
        <v>501</v>
      </c>
    </row>
    <row r="497" spans="1:88" x14ac:dyDescent="0.25">
      <c r="A497" t="s">
        <v>21</v>
      </c>
      <c r="B497" t="s">
        <v>18</v>
      </c>
      <c r="C497" t="s">
        <v>313</v>
      </c>
      <c r="D497">
        <v>64452</v>
      </c>
      <c r="E497">
        <v>5</v>
      </c>
      <c r="F497" s="24" t="str">
        <f t="shared" si="49"/>
        <v>2024-2</v>
      </c>
      <c r="O497" t="s">
        <v>35</v>
      </c>
      <c r="P497" t="s">
        <v>211</v>
      </c>
      <c r="Q497">
        <v>7</v>
      </c>
      <c r="AA497">
        <v>64452</v>
      </c>
      <c r="AB497" t="s">
        <v>18</v>
      </c>
      <c r="AD497">
        <f t="shared" si="47"/>
        <v>0</v>
      </c>
      <c r="AE497">
        <f t="shared" si="48"/>
        <v>0</v>
      </c>
      <c r="AG497" t="s">
        <v>35</v>
      </c>
      <c r="AH497" t="s">
        <v>211</v>
      </c>
      <c r="BF497" t="s">
        <v>211</v>
      </c>
      <c r="BG497" t="s">
        <v>35</v>
      </c>
      <c r="BH497">
        <v>7</v>
      </c>
      <c r="BI497" t="s">
        <v>502</v>
      </c>
      <c r="CG497" t="s">
        <v>21</v>
      </c>
      <c r="CH497" t="s">
        <v>18</v>
      </c>
      <c r="CI497">
        <v>64452</v>
      </c>
      <c r="CJ497" t="s">
        <v>501</v>
      </c>
    </row>
    <row r="498" spans="1:88" x14ac:dyDescent="0.25">
      <c r="A498" t="s">
        <v>14</v>
      </c>
      <c r="B498" t="s">
        <v>109</v>
      </c>
      <c r="C498" t="s">
        <v>313</v>
      </c>
      <c r="D498">
        <v>53596</v>
      </c>
      <c r="E498">
        <v>5</v>
      </c>
      <c r="F498" s="24" t="str">
        <f t="shared" si="49"/>
        <v>2024-2</v>
      </c>
      <c r="O498" t="s">
        <v>10</v>
      </c>
      <c r="P498" t="s">
        <v>337</v>
      </c>
      <c r="Q498">
        <v>4</v>
      </c>
      <c r="AA498">
        <v>53596</v>
      </c>
      <c r="AB498" t="s">
        <v>109</v>
      </c>
      <c r="AD498">
        <f t="shared" si="47"/>
        <v>0</v>
      </c>
      <c r="AE498">
        <f t="shared" si="48"/>
        <v>0</v>
      </c>
      <c r="AG498" t="s">
        <v>10</v>
      </c>
      <c r="AH498" t="s">
        <v>337</v>
      </c>
      <c r="BF498" t="s">
        <v>337</v>
      </c>
      <c r="BG498" t="s">
        <v>10</v>
      </c>
      <c r="BH498">
        <v>4</v>
      </c>
      <c r="BI498" t="s">
        <v>502</v>
      </c>
      <c r="CG498" t="s">
        <v>14</v>
      </c>
      <c r="CH498" t="s">
        <v>109</v>
      </c>
      <c r="CI498">
        <v>53596</v>
      </c>
      <c r="CJ498" t="s">
        <v>501</v>
      </c>
    </row>
    <row r="499" spans="1:88" x14ac:dyDescent="0.25">
      <c r="A499" t="s">
        <v>29</v>
      </c>
      <c r="B499" t="s">
        <v>108</v>
      </c>
      <c r="C499" t="s">
        <v>315</v>
      </c>
      <c r="D499">
        <v>82234</v>
      </c>
      <c r="E499">
        <v>7</v>
      </c>
      <c r="F499" s="24" t="str">
        <f t="shared" si="49"/>
        <v>2024-2</v>
      </c>
      <c r="O499" t="s">
        <v>53</v>
      </c>
      <c r="P499" t="s">
        <v>108</v>
      </c>
      <c r="Q499">
        <v>8</v>
      </c>
      <c r="AA499">
        <v>82234</v>
      </c>
      <c r="AB499" t="s">
        <v>108</v>
      </c>
      <c r="AD499">
        <f t="shared" si="47"/>
        <v>0</v>
      </c>
      <c r="AE499">
        <f t="shared" si="48"/>
        <v>0</v>
      </c>
      <c r="AG499" t="s">
        <v>53</v>
      </c>
      <c r="AH499" t="s">
        <v>108</v>
      </c>
      <c r="BF499" t="s">
        <v>108</v>
      </c>
      <c r="BG499" t="s">
        <v>53</v>
      </c>
      <c r="BH499">
        <v>8</v>
      </c>
      <c r="BI499" t="s">
        <v>502</v>
      </c>
      <c r="CG499" t="s">
        <v>29</v>
      </c>
      <c r="CH499" t="s">
        <v>108</v>
      </c>
      <c r="CI499">
        <v>82234</v>
      </c>
      <c r="CJ499" t="s">
        <v>501</v>
      </c>
    </row>
    <row r="500" spans="1:88" x14ac:dyDescent="0.25">
      <c r="A500" t="s">
        <v>37</v>
      </c>
      <c r="B500" t="s">
        <v>73</v>
      </c>
      <c r="C500" t="s">
        <v>316</v>
      </c>
      <c r="D500">
        <v>54549</v>
      </c>
      <c r="E500">
        <v>6</v>
      </c>
      <c r="F500" s="24" t="str">
        <f t="shared" si="49"/>
        <v>2024-2</v>
      </c>
      <c r="O500" t="s">
        <v>10</v>
      </c>
      <c r="P500" t="s">
        <v>295</v>
      </c>
      <c r="Q500">
        <v>8</v>
      </c>
      <c r="AA500">
        <v>54549</v>
      </c>
      <c r="AB500" t="s">
        <v>73</v>
      </c>
      <c r="AD500">
        <f t="shared" si="47"/>
        <v>0</v>
      </c>
      <c r="AE500">
        <f t="shared" si="48"/>
        <v>0</v>
      </c>
      <c r="AG500" t="s">
        <v>10</v>
      </c>
      <c r="AH500" t="s">
        <v>295</v>
      </c>
      <c r="BF500" t="s">
        <v>295</v>
      </c>
      <c r="BG500" t="s">
        <v>10</v>
      </c>
      <c r="BH500">
        <v>8</v>
      </c>
      <c r="BI500" t="s">
        <v>502</v>
      </c>
      <c r="CG500" t="s">
        <v>37</v>
      </c>
      <c r="CH500" t="s">
        <v>73</v>
      </c>
      <c r="CI500">
        <v>54549</v>
      </c>
      <c r="CJ500" t="s">
        <v>501</v>
      </c>
    </row>
    <row r="501" spans="1:88" x14ac:dyDescent="0.25">
      <c r="A501" t="s">
        <v>21</v>
      </c>
      <c r="B501" t="s">
        <v>130</v>
      </c>
      <c r="C501" t="s">
        <v>316</v>
      </c>
      <c r="D501">
        <v>75030</v>
      </c>
      <c r="E501">
        <v>4</v>
      </c>
      <c r="F501" s="24" t="str">
        <f t="shared" si="49"/>
        <v>2024-2</v>
      </c>
      <c r="O501" t="s">
        <v>14</v>
      </c>
      <c r="P501" t="s">
        <v>6</v>
      </c>
      <c r="Q501">
        <v>4</v>
      </c>
      <c r="AA501">
        <v>75030</v>
      </c>
      <c r="AB501" t="s">
        <v>130</v>
      </c>
      <c r="AD501">
        <f t="shared" si="47"/>
        <v>0</v>
      </c>
      <c r="AE501">
        <f t="shared" si="48"/>
        <v>0</v>
      </c>
      <c r="AG501" t="s">
        <v>14</v>
      </c>
      <c r="AH501" t="s">
        <v>6</v>
      </c>
      <c r="BF501" t="s">
        <v>6</v>
      </c>
      <c r="BG501" t="s">
        <v>14</v>
      </c>
      <c r="BH501">
        <v>4</v>
      </c>
      <c r="BI501" t="s">
        <v>502</v>
      </c>
      <c r="CG501" t="s">
        <v>21</v>
      </c>
      <c r="CH501" t="s">
        <v>130</v>
      </c>
      <c r="CI501">
        <v>75030</v>
      </c>
      <c r="CJ501" t="s">
        <v>501</v>
      </c>
    </row>
    <row r="502" spans="1:88" x14ac:dyDescent="0.25">
      <c r="A502" t="s">
        <v>29</v>
      </c>
      <c r="B502" t="s">
        <v>64</v>
      </c>
      <c r="C502" t="s">
        <v>317</v>
      </c>
      <c r="D502">
        <v>18108</v>
      </c>
      <c r="E502">
        <v>7</v>
      </c>
      <c r="F502" s="24" t="str">
        <f t="shared" si="49"/>
        <v>2024-2</v>
      </c>
      <c r="O502" t="s">
        <v>10</v>
      </c>
      <c r="P502" t="s">
        <v>251</v>
      </c>
      <c r="Q502">
        <v>7</v>
      </c>
      <c r="AA502">
        <v>18108</v>
      </c>
      <c r="AB502" t="s">
        <v>64</v>
      </c>
      <c r="AD502">
        <f t="shared" si="47"/>
        <v>0</v>
      </c>
      <c r="AE502">
        <f t="shared" si="48"/>
        <v>0</v>
      </c>
      <c r="AG502" t="s">
        <v>10</v>
      </c>
      <c r="AH502" t="s">
        <v>251</v>
      </c>
      <c r="BF502" t="s">
        <v>251</v>
      </c>
      <c r="BG502" t="s">
        <v>10</v>
      </c>
      <c r="BH502">
        <v>7</v>
      </c>
      <c r="BI502" t="s">
        <v>502</v>
      </c>
      <c r="CG502" t="s">
        <v>29</v>
      </c>
      <c r="CH502" t="s">
        <v>64</v>
      </c>
      <c r="CI502">
        <v>18108</v>
      </c>
      <c r="CJ502" t="s">
        <v>501</v>
      </c>
    </row>
    <row r="503" spans="1:88" x14ac:dyDescent="0.25">
      <c r="A503" t="s">
        <v>75</v>
      </c>
      <c r="B503" t="s">
        <v>39</v>
      </c>
      <c r="C503" t="s">
        <v>318</v>
      </c>
      <c r="D503">
        <v>99577</v>
      </c>
      <c r="E503">
        <v>7</v>
      </c>
      <c r="F503" s="24" t="str">
        <f t="shared" si="49"/>
        <v>2024-2</v>
      </c>
      <c r="O503" t="s">
        <v>53</v>
      </c>
      <c r="P503" t="s">
        <v>172</v>
      </c>
      <c r="Q503">
        <v>8</v>
      </c>
      <c r="AA503">
        <v>99577</v>
      </c>
      <c r="AB503" t="s">
        <v>39</v>
      </c>
      <c r="AD503">
        <f t="shared" si="47"/>
        <v>0</v>
      </c>
      <c r="AE503">
        <f t="shared" si="48"/>
        <v>0</v>
      </c>
      <c r="AG503" t="s">
        <v>53</v>
      </c>
      <c r="AH503" t="s">
        <v>172</v>
      </c>
      <c r="BF503" t="s">
        <v>172</v>
      </c>
      <c r="BG503" t="s">
        <v>53</v>
      </c>
      <c r="BH503">
        <v>8</v>
      </c>
      <c r="BI503" t="s">
        <v>502</v>
      </c>
      <c r="CG503" t="s">
        <v>75</v>
      </c>
      <c r="CH503" t="s">
        <v>39</v>
      </c>
      <c r="CI503">
        <v>99577</v>
      </c>
      <c r="CJ503" t="s">
        <v>501</v>
      </c>
    </row>
    <row r="504" spans="1:88" x14ac:dyDescent="0.25">
      <c r="A504" t="s">
        <v>53</v>
      </c>
      <c r="B504" t="s">
        <v>319</v>
      </c>
      <c r="C504" t="s">
        <v>318</v>
      </c>
      <c r="D504">
        <v>68315</v>
      </c>
      <c r="E504">
        <v>8</v>
      </c>
      <c r="F504" s="24" t="str">
        <f t="shared" si="49"/>
        <v>2024-2</v>
      </c>
      <c r="O504" t="s">
        <v>10</v>
      </c>
      <c r="P504" t="s">
        <v>189</v>
      </c>
      <c r="Q504">
        <v>6</v>
      </c>
      <c r="AA504">
        <v>68315</v>
      </c>
      <c r="AB504" t="s">
        <v>319</v>
      </c>
      <c r="AD504">
        <f t="shared" si="47"/>
        <v>0</v>
      </c>
      <c r="AE504">
        <f t="shared" si="48"/>
        <v>0</v>
      </c>
      <c r="AG504" t="s">
        <v>10</v>
      </c>
      <c r="AH504" t="s">
        <v>189</v>
      </c>
      <c r="BF504" t="s">
        <v>189</v>
      </c>
      <c r="BG504" t="s">
        <v>10</v>
      </c>
      <c r="BH504">
        <v>6</v>
      </c>
      <c r="BI504" t="s">
        <v>502</v>
      </c>
      <c r="CG504" t="s">
        <v>53</v>
      </c>
      <c r="CH504" t="s">
        <v>319</v>
      </c>
      <c r="CI504">
        <v>68315</v>
      </c>
      <c r="CJ504" t="s">
        <v>501</v>
      </c>
    </row>
    <row r="505" spans="1:88" x14ac:dyDescent="0.25">
      <c r="A505" t="s">
        <v>5</v>
      </c>
      <c r="B505" t="s">
        <v>149</v>
      </c>
      <c r="C505" t="s">
        <v>318</v>
      </c>
      <c r="D505">
        <v>86674</v>
      </c>
      <c r="E505">
        <v>2</v>
      </c>
      <c r="F505" s="24" t="str">
        <f t="shared" si="49"/>
        <v>2024-2</v>
      </c>
      <c r="O505" t="s">
        <v>37</v>
      </c>
      <c r="P505" t="s">
        <v>111</v>
      </c>
      <c r="Q505">
        <v>5</v>
      </c>
      <c r="AA505">
        <v>86674</v>
      </c>
      <c r="AB505" t="s">
        <v>149</v>
      </c>
      <c r="AD505">
        <f t="shared" si="47"/>
        <v>0</v>
      </c>
      <c r="AE505">
        <f t="shared" si="48"/>
        <v>0</v>
      </c>
      <c r="AG505" t="s">
        <v>37</v>
      </c>
      <c r="AH505" t="s">
        <v>111</v>
      </c>
      <c r="BF505" t="s">
        <v>111</v>
      </c>
      <c r="BG505" t="s">
        <v>37</v>
      </c>
      <c r="BH505">
        <v>5</v>
      </c>
      <c r="BI505" t="s">
        <v>502</v>
      </c>
      <c r="CG505" t="s">
        <v>5</v>
      </c>
      <c r="CH505" t="s">
        <v>149</v>
      </c>
      <c r="CI505">
        <v>86674</v>
      </c>
      <c r="CJ505" t="s">
        <v>501</v>
      </c>
    </row>
    <row r="506" spans="1:88" x14ac:dyDescent="0.25">
      <c r="A506" t="s">
        <v>10</v>
      </c>
      <c r="B506" t="s">
        <v>306</v>
      </c>
      <c r="C506" t="s">
        <v>318</v>
      </c>
      <c r="D506">
        <v>12286</v>
      </c>
      <c r="E506">
        <v>8</v>
      </c>
      <c r="F506" s="24" t="str">
        <f t="shared" si="49"/>
        <v>2024-2</v>
      </c>
      <c r="O506" t="s">
        <v>35</v>
      </c>
      <c r="P506" t="s">
        <v>176</v>
      </c>
      <c r="Q506">
        <v>7</v>
      </c>
      <c r="AA506">
        <v>12286</v>
      </c>
      <c r="AB506" t="s">
        <v>306</v>
      </c>
      <c r="AD506">
        <f t="shared" si="47"/>
        <v>0</v>
      </c>
      <c r="AE506">
        <f t="shared" si="48"/>
        <v>0</v>
      </c>
      <c r="AG506" t="s">
        <v>35</v>
      </c>
      <c r="AH506" t="s">
        <v>176</v>
      </c>
      <c r="BF506" t="s">
        <v>176</v>
      </c>
      <c r="BG506" t="s">
        <v>35</v>
      </c>
      <c r="BH506">
        <v>7</v>
      </c>
      <c r="BI506" t="s">
        <v>502</v>
      </c>
      <c r="CG506" t="s">
        <v>10</v>
      </c>
      <c r="CH506" t="s">
        <v>306</v>
      </c>
      <c r="CI506">
        <v>12286</v>
      </c>
      <c r="CJ506" t="s">
        <v>501</v>
      </c>
    </row>
    <row r="507" spans="1:88" x14ac:dyDescent="0.25">
      <c r="A507" t="s">
        <v>10</v>
      </c>
      <c r="B507" t="s">
        <v>242</v>
      </c>
      <c r="C507" t="s">
        <v>318</v>
      </c>
      <c r="D507">
        <v>55399</v>
      </c>
      <c r="E507">
        <v>9</v>
      </c>
      <c r="F507" s="24" t="str">
        <f t="shared" si="49"/>
        <v>2024-2</v>
      </c>
      <c r="O507" t="s">
        <v>35</v>
      </c>
      <c r="P507" t="s">
        <v>9</v>
      </c>
      <c r="Q507">
        <v>6</v>
      </c>
      <c r="AA507">
        <v>55399</v>
      </c>
      <c r="AB507" t="s">
        <v>242</v>
      </c>
      <c r="AD507">
        <f t="shared" si="47"/>
        <v>0</v>
      </c>
      <c r="AE507">
        <f t="shared" si="48"/>
        <v>0</v>
      </c>
      <c r="AG507" t="s">
        <v>35</v>
      </c>
      <c r="AH507" t="s">
        <v>9</v>
      </c>
      <c r="BF507" t="s">
        <v>9</v>
      </c>
      <c r="BG507" t="s">
        <v>35</v>
      </c>
      <c r="BH507">
        <v>6</v>
      </c>
      <c r="BI507" t="s">
        <v>502</v>
      </c>
      <c r="CG507" t="s">
        <v>10</v>
      </c>
      <c r="CH507" t="s">
        <v>242</v>
      </c>
      <c r="CI507">
        <v>55399</v>
      </c>
      <c r="CJ507" t="s">
        <v>501</v>
      </c>
    </row>
    <row r="508" spans="1:88" x14ac:dyDescent="0.25">
      <c r="A508" t="s">
        <v>53</v>
      </c>
      <c r="B508" t="s">
        <v>100</v>
      </c>
      <c r="C508" t="s">
        <v>318</v>
      </c>
      <c r="D508">
        <v>85766</v>
      </c>
      <c r="E508">
        <v>7</v>
      </c>
      <c r="F508" s="24" t="str">
        <f t="shared" si="49"/>
        <v>2024-2</v>
      </c>
      <c r="O508" t="s">
        <v>10</v>
      </c>
      <c r="P508" t="s">
        <v>22</v>
      </c>
      <c r="Q508">
        <v>7</v>
      </c>
      <c r="AA508">
        <v>85766</v>
      </c>
      <c r="AB508" t="s">
        <v>100</v>
      </c>
      <c r="AD508">
        <f t="shared" si="47"/>
        <v>0</v>
      </c>
      <c r="AE508">
        <f t="shared" si="48"/>
        <v>0</v>
      </c>
      <c r="AG508" t="s">
        <v>10</v>
      </c>
      <c r="AH508" t="s">
        <v>22</v>
      </c>
      <c r="BF508" t="s">
        <v>22</v>
      </c>
      <c r="BG508" t="s">
        <v>10</v>
      </c>
      <c r="BH508">
        <v>7</v>
      </c>
      <c r="BI508" t="s">
        <v>502</v>
      </c>
      <c r="CG508" t="s">
        <v>53</v>
      </c>
      <c r="CH508" t="s">
        <v>100</v>
      </c>
      <c r="CI508">
        <v>85766</v>
      </c>
      <c r="CJ508" t="s">
        <v>501</v>
      </c>
    </row>
    <row r="509" spans="1:88" x14ac:dyDescent="0.25">
      <c r="A509" t="s">
        <v>29</v>
      </c>
      <c r="B509" t="s">
        <v>160</v>
      </c>
      <c r="C509" t="s">
        <v>318</v>
      </c>
      <c r="D509">
        <v>43440</v>
      </c>
      <c r="E509">
        <v>8</v>
      </c>
      <c r="F509" s="24" t="str">
        <f t="shared" si="49"/>
        <v>2024-2</v>
      </c>
      <c r="O509" t="s">
        <v>55</v>
      </c>
      <c r="P509" t="s">
        <v>164</v>
      </c>
      <c r="Q509">
        <v>8</v>
      </c>
      <c r="AA509">
        <v>43440</v>
      </c>
      <c r="AB509" t="s">
        <v>160</v>
      </c>
      <c r="AD509">
        <f t="shared" si="47"/>
        <v>0</v>
      </c>
      <c r="AE509">
        <f t="shared" si="48"/>
        <v>0</v>
      </c>
      <c r="AG509" t="s">
        <v>55</v>
      </c>
      <c r="AH509" t="s">
        <v>164</v>
      </c>
      <c r="BF509" t="s">
        <v>164</v>
      </c>
      <c r="BG509" t="s">
        <v>55</v>
      </c>
      <c r="BH509">
        <v>8</v>
      </c>
      <c r="BI509" t="s">
        <v>502</v>
      </c>
      <c r="CG509" t="s">
        <v>29</v>
      </c>
      <c r="CH509" t="s">
        <v>160</v>
      </c>
      <c r="CI509">
        <v>43440</v>
      </c>
      <c r="CJ509" t="s">
        <v>501</v>
      </c>
    </row>
    <row r="510" spans="1:88" x14ac:dyDescent="0.25">
      <c r="A510" t="s">
        <v>16</v>
      </c>
      <c r="B510" t="s">
        <v>39</v>
      </c>
      <c r="C510" t="s">
        <v>318</v>
      </c>
      <c r="D510">
        <v>76918</v>
      </c>
      <c r="E510">
        <v>6</v>
      </c>
      <c r="F510" s="24" t="str">
        <f t="shared" si="49"/>
        <v>2024-2</v>
      </c>
      <c r="O510" t="s">
        <v>55</v>
      </c>
      <c r="P510" t="s">
        <v>82</v>
      </c>
      <c r="Q510">
        <v>4</v>
      </c>
      <c r="AA510">
        <v>76918</v>
      </c>
      <c r="AB510" t="s">
        <v>39</v>
      </c>
      <c r="AD510">
        <f t="shared" si="47"/>
        <v>0</v>
      </c>
      <c r="AE510">
        <f t="shared" si="48"/>
        <v>0</v>
      </c>
      <c r="AG510" t="s">
        <v>55</v>
      </c>
      <c r="AH510" t="s">
        <v>82</v>
      </c>
      <c r="BF510" t="s">
        <v>82</v>
      </c>
      <c r="BG510" t="s">
        <v>55</v>
      </c>
      <c r="BH510">
        <v>4</v>
      </c>
      <c r="BI510" t="s">
        <v>502</v>
      </c>
      <c r="CG510" t="s">
        <v>16</v>
      </c>
      <c r="CH510" t="s">
        <v>39</v>
      </c>
      <c r="CI510">
        <v>76918</v>
      </c>
      <c r="CJ510" t="s">
        <v>501</v>
      </c>
    </row>
    <row r="511" spans="1:88" x14ac:dyDescent="0.25">
      <c r="A511" t="s">
        <v>37</v>
      </c>
      <c r="B511" t="s">
        <v>181</v>
      </c>
      <c r="C511" t="s">
        <v>318</v>
      </c>
      <c r="D511">
        <v>69177</v>
      </c>
      <c r="E511">
        <v>7</v>
      </c>
      <c r="F511" s="24" t="str">
        <f t="shared" si="49"/>
        <v>2024-2</v>
      </c>
      <c r="O511" t="s">
        <v>53</v>
      </c>
      <c r="P511" t="s">
        <v>27</v>
      </c>
      <c r="Q511">
        <v>6</v>
      </c>
      <c r="AA511">
        <v>69177</v>
      </c>
      <c r="AB511" t="s">
        <v>181</v>
      </c>
      <c r="AD511">
        <f t="shared" si="47"/>
        <v>0</v>
      </c>
      <c r="AE511">
        <f t="shared" si="48"/>
        <v>0</v>
      </c>
      <c r="AG511" t="s">
        <v>53</v>
      </c>
      <c r="AH511" t="s">
        <v>27</v>
      </c>
      <c r="BF511" t="s">
        <v>27</v>
      </c>
      <c r="BG511" t="s">
        <v>53</v>
      </c>
      <c r="BH511">
        <v>6</v>
      </c>
      <c r="BI511" t="s">
        <v>502</v>
      </c>
      <c r="CG511" t="s">
        <v>37</v>
      </c>
      <c r="CH511" t="s">
        <v>181</v>
      </c>
      <c r="CI511">
        <v>69177</v>
      </c>
      <c r="CJ511" t="s">
        <v>501</v>
      </c>
    </row>
    <row r="512" spans="1:88" x14ac:dyDescent="0.25">
      <c r="A512" t="s">
        <v>75</v>
      </c>
      <c r="B512" t="s">
        <v>155</v>
      </c>
      <c r="C512" t="s">
        <v>318</v>
      </c>
      <c r="D512">
        <v>26766</v>
      </c>
      <c r="E512">
        <v>9</v>
      </c>
      <c r="F512" s="24" t="str">
        <f t="shared" si="49"/>
        <v>2024-2</v>
      </c>
      <c r="O512" t="s">
        <v>35</v>
      </c>
      <c r="P512" t="s">
        <v>177</v>
      </c>
      <c r="Q512">
        <v>7</v>
      </c>
      <c r="AA512">
        <v>26766</v>
      </c>
      <c r="AB512" t="s">
        <v>155</v>
      </c>
      <c r="AD512">
        <f t="shared" si="47"/>
        <v>0</v>
      </c>
      <c r="AE512">
        <f t="shared" si="48"/>
        <v>0</v>
      </c>
      <c r="AG512" t="s">
        <v>35</v>
      </c>
      <c r="AH512" t="s">
        <v>177</v>
      </c>
      <c r="BF512" t="s">
        <v>177</v>
      </c>
      <c r="BG512" t="s">
        <v>35</v>
      </c>
      <c r="BH512">
        <v>7</v>
      </c>
      <c r="BI512" t="s">
        <v>502</v>
      </c>
      <c r="CG512" t="s">
        <v>75</v>
      </c>
      <c r="CH512" t="s">
        <v>155</v>
      </c>
      <c r="CI512">
        <v>26766</v>
      </c>
      <c r="CJ512" t="s">
        <v>501</v>
      </c>
    </row>
    <row r="513" spans="1:88" x14ac:dyDescent="0.25">
      <c r="A513" t="s">
        <v>37</v>
      </c>
      <c r="B513" t="s">
        <v>48</v>
      </c>
      <c r="C513" t="s">
        <v>318</v>
      </c>
      <c r="D513">
        <v>99185</v>
      </c>
      <c r="E513">
        <v>8</v>
      </c>
      <c r="F513" s="24" t="str">
        <f t="shared" si="49"/>
        <v>2024-2</v>
      </c>
      <c r="O513" t="s">
        <v>35</v>
      </c>
      <c r="P513" t="s">
        <v>166</v>
      </c>
      <c r="Q513">
        <v>8</v>
      </c>
      <c r="AA513">
        <v>99185</v>
      </c>
      <c r="AB513" t="s">
        <v>48</v>
      </c>
      <c r="AD513">
        <f t="shared" si="47"/>
        <v>0</v>
      </c>
      <c r="AE513">
        <f t="shared" si="48"/>
        <v>0</v>
      </c>
      <c r="AG513" t="s">
        <v>35</v>
      </c>
      <c r="AH513" t="s">
        <v>166</v>
      </c>
      <c r="BF513" t="s">
        <v>166</v>
      </c>
      <c r="BG513" t="s">
        <v>35</v>
      </c>
      <c r="BH513">
        <v>8</v>
      </c>
      <c r="BI513" t="s">
        <v>502</v>
      </c>
      <c r="CG513" t="s">
        <v>37</v>
      </c>
      <c r="CH513" t="s">
        <v>48</v>
      </c>
      <c r="CI513">
        <v>99185</v>
      </c>
      <c r="CJ513" t="s">
        <v>501</v>
      </c>
    </row>
    <row r="514" spans="1:88" x14ac:dyDescent="0.25">
      <c r="A514" t="s">
        <v>29</v>
      </c>
      <c r="B514" t="s">
        <v>231</v>
      </c>
      <c r="C514" t="s">
        <v>318</v>
      </c>
      <c r="D514">
        <v>92231</v>
      </c>
      <c r="E514">
        <v>7</v>
      </c>
      <c r="F514" s="24" t="str">
        <f t="shared" si="49"/>
        <v>2024-2</v>
      </c>
      <c r="O514" t="s">
        <v>35</v>
      </c>
      <c r="P514" t="s">
        <v>237</v>
      </c>
      <c r="Q514">
        <v>9</v>
      </c>
      <c r="AA514">
        <v>92231</v>
      </c>
      <c r="AB514" t="s">
        <v>231</v>
      </c>
      <c r="AD514">
        <f t="shared" ref="AD514:AD577" si="50">COUNTIF(AB:AB,AC514)</f>
        <v>0</v>
      </c>
      <c r="AE514">
        <f t="shared" ref="AE514:AE577" si="51">SUMIF(AB:AB,AC514,AA:AA)</f>
        <v>0</v>
      </c>
      <c r="AG514" t="s">
        <v>35</v>
      </c>
      <c r="AH514" t="s">
        <v>237</v>
      </c>
      <c r="BF514" t="s">
        <v>237</v>
      </c>
      <c r="BG514" t="s">
        <v>35</v>
      </c>
      <c r="BH514">
        <v>9</v>
      </c>
      <c r="BI514" t="s">
        <v>502</v>
      </c>
      <c r="CG514" t="s">
        <v>29</v>
      </c>
      <c r="CH514" t="s">
        <v>231</v>
      </c>
      <c r="CI514">
        <v>92231</v>
      </c>
      <c r="CJ514" t="s">
        <v>501</v>
      </c>
    </row>
    <row r="515" spans="1:88" x14ac:dyDescent="0.25">
      <c r="A515" t="s">
        <v>21</v>
      </c>
      <c r="B515" t="s">
        <v>159</v>
      </c>
      <c r="C515" t="s">
        <v>320</v>
      </c>
      <c r="D515">
        <v>74933</v>
      </c>
      <c r="E515">
        <v>3</v>
      </c>
      <c r="F515" s="24" t="str">
        <f t="shared" ref="F515:F578" si="52">YEAR(C515)&amp;"-"&amp;MONTH(C515)</f>
        <v>2024-2</v>
      </c>
      <c r="O515" t="s">
        <v>35</v>
      </c>
      <c r="P515" t="s">
        <v>337</v>
      </c>
      <c r="Q515">
        <v>5</v>
      </c>
      <c r="AA515">
        <v>74933</v>
      </c>
      <c r="AB515" t="s">
        <v>159</v>
      </c>
      <c r="AD515">
        <f t="shared" si="50"/>
        <v>0</v>
      </c>
      <c r="AE515">
        <f t="shared" si="51"/>
        <v>0</v>
      </c>
      <c r="AG515" t="s">
        <v>35</v>
      </c>
      <c r="AH515" t="s">
        <v>337</v>
      </c>
      <c r="BF515" t="s">
        <v>337</v>
      </c>
      <c r="BG515" t="s">
        <v>35</v>
      </c>
      <c r="BH515">
        <v>5</v>
      </c>
      <c r="BI515" t="s">
        <v>502</v>
      </c>
      <c r="CG515" t="s">
        <v>21</v>
      </c>
      <c r="CH515" t="s">
        <v>159</v>
      </c>
      <c r="CI515">
        <v>74933</v>
      </c>
      <c r="CJ515" t="s">
        <v>501</v>
      </c>
    </row>
    <row r="516" spans="1:88" x14ac:dyDescent="0.25">
      <c r="A516" t="s">
        <v>8</v>
      </c>
      <c r="B516" t="s">
        <v>321</v>
      </c>
      <c r="C516" t="s">
        <v>320</v>
      </c>
      <c r="D516">
        <v>23815</v>
      </c>
      <c r="E516">
        <v>6</v>
      </c>
      <c r="F516" s="24" t="str">
        <f t="shared" si="52"/>
        <v>2024-2</v>
      </c>
      <c r="O516" t="s">
        <v>21</v>
      </c>
      <c r="P516" t="s">
        <v>293</v>
      </c>
      <c r="Q516">
        <v>6</v>
      </c>
      <c r="AA516">
        <v>23815</v>
      </c>
      <c r="AB516" t="s">
        <v>321</v>
      </c>
      <c r="AD516">
        <f t="shared" si="50"/>
        <v>0</v>
      </c>
      <c r="AE516">
        <f t="shared" si="51"/>
        <v>0</v>
      </c>
      <c r="AG516" t="s">
        <v>21</v>
      </c>
      <c r="AH516" t="s">
        <v>293</v>
      </c>
      <c r="BF516" t="s">
        <v>293</v>
      </c>
      <c r="BG516" t="s">
        <v>21</v>
      </c>
      <c r="BH516">
        <v>6</v>
      </c>
      <c r="BI516" t="s">
        <v>502</v>
      </c>
      <c r="CG516" t="s">
        <v>8</v>
      </c>
      <c r="CH516" t="s">
        <v>321</v>
      </c>
      <c r="CI516">
        <v>23815</v>
      </c>
      <c r="CJ516" t="s">
        <v>501</v>
      </c>
    </row>
    <row r="517" spans="1:88" x14ac:dyDescent="0.25">
      <c r="A517" t="s">
        <v>53</v>
      </c>
      <c r="B517" t="s">
        <v>137</v>
      </c>
      <c r="C517" t="s">
        <v>322</v>
      </c>
      <c r="D517">
        <v>56418</v>
      </c>
      <c r="E517">
        <v>7</v>
      </c>
      <c r="F517" s="24" t="str">
        <f t="shared" si="52"/>
        <v>2024-2</v>
      </c>
      <c r="O517" t="s">
        <v>8</v>
      </c>
      <c r="P517" t="s">
        <v>41</v>
      </c>
      <c r="Q517">
        <v>6</v>
      </c>
      <c r="AA517">
        <v>56418</v>
      </c>
      <c r="AB517" t="s">
        <v>137</v>
      </c>
      <c r="AD517">
        <f t="shared" si="50"/>
        <v>0</v>
      </c>
      <c r="AE517">
        <f t="shared" si="51"/>
        <v>0</v>
      </c>
      <c r="AG517" t="s">
        <v>8</v>
      </c>
      <c r="AH517" t="s">
        <v>41</v>
      </c>
      <c r="BF517" t="s">
        <v>41</v>
      </c>
      <c r="BG517" t="s">
        <v>8</v>
      </c>
      <c r="BH517">
        <v>6</v>
      </c>
      <c r="BI517" t="s">
        <v>502</v>
      </c>
      <c r="CG517" t="s">
        <v>53</v>
      </c>
      <c r="CH517" t="s">
        <v>137</v>
      </c>
      <c r="CI517">
        <v>56418</v>
      </c>
      <c r="CJ517" t="s">
        <v>501</v>
      </c>
    </row>
    <row r="518" spans="1:88" x14ac:dyDescent="0.25">
      <c r="A518" t="s">
        <v>75</v>
      </c>
      <c r="B518" t="s">
        <v>142</v>
      </c>
      <c r="C518" t="s">
        <v>323</v>
      </c>
      <c r="D518">
        <v>53465</v>
      </c>
      <c r="E518">
        <v>7</v>
      </c>
      <c r="F518" s="24" t="str">
        <f t="shared" si="52"/>
        <v>2024-2</v>
      </c>
      <c r="O518" t="s">
        <v>21</v>
      </c>
      <c r="P518" t="s">
        <v>122</v>
      </c>
      <c r="Q518">
        <v>7</v>
      </c>
      <c r="AA518">
        <v>53465</v>
      </c>
      <c r="AB518" t="s">
        <v>142</v>
      </c>
      <c r="AD518">
        <f t="shared" si="50"/>
        <v>0</v>
      </c>
      <c r="AE518">
        <f t="shared" si="51"/>
        <v>0</v>
      </c>
      <c r="AG518" t="s">
        <v>21</v>
      </c>
      <c r="AH518" t="s">
        <v>122</v>
      </c>
      <c r="BF518" t="s">
        <v>122</v>
      </c>
      <c r="BG518" t="s">
        <v>21</v>
      </c>
      <c r="BH518">
        <v>7</v>
      </c>
      <c r="BI518" t="s">
        <v>502</v>
      </c>
      <c r="CG518" t="s">
        <v>75</v>
      </c>
      <c r="CH518" t="s">
        <v>142</v>
      </c>
      <c r="CI518">
        <v>53465</v>
      </c>
      <c r="CJ518" t="s">
        <v>501</v>
      </c>
    </row>
    <row r="519" spans="1:88" x14ac:dyDescent="0.25">
      <c r="A519" t="s">
        <v>14</v>
      </c>
      <c r="B519" t="s">
        <v>255</v>
      </c>
      <c r="C519" t="s">
        <v>323</v>
      </c>
      <c r="D519">
        <v>71946</v>
      </c>
      <c r="E519">
        <v>7</v>
      </c>
      <c r="F519" s="24" t="str">
        <f t="shared" si="52"/>
        <v>2024-2</v>
      </c>
      <c r="O519" t="s">
        <v>53</v>
      </c>
      <c r="P519" t="s">
        <v>206</v>
      </c>
      <c r="Q519">
        <v>9</v>
      </c>
      <c r="AA519">
        <v>71946</v>
      </c>
      <c r="AB519" t="s">
        <v>255</v>
      </c>
      <c r="AD519">
        <f t="shared" si="50"/>
        <v>0</v>
      </c>
      <c r="AE519">
        <f t="shared" si="51"/>
        <v>0</v>
      </c>
      <c r="AG519" t="s">
        <v>53</v>
      </c>
      <c r="AH519" t="s">
        <v>206</v>
      </c>
      <c r="BF519" t="s">
        <v>206</v>
      </c>
      <c r="BG519" t="s">
        <v>53</v>
      </c>
      <c r="BH519">
        <v>9</v>
      </c>
      <c r="BI519" t="s">
        <v>502</v>
      </c>
      <c r="CG519" t="s">
        <v>14</v>
      </c>
      <c r="CH519" t="s">
        <v>255</v>
      </c>
      <c r="CI519">
        <v>71946</v>
      </c>
      <c r="CJ519" t="s">
        <v>501</v>
      </c>
    </row>
    <row r="520" spans="1:88" x14ac:dyDescent="0.25">
      <c r="A520" t="s">
        <v>16</v>
      </c>
      <c r="B520" t="s">
        <v>25</v>
      </c>
      <c r="C520" t="s">
        <v>324</v>
      </c>
      <c r="D520">
        <v>16631</v>
      </c>
      <c r="E520">
        <v>7</v>
      </c>
      <c r="F520" s="24" t="str">
        <f t="shared" si="52"/>
        <v>2024-3</v>
      </c>
      <c r="O520" t="s">
        <v>8</v>
      </c>
      <c r="P520" t="s">
        <v>105</v>
      </c>
      <c r="Q520">
        <v>5</v>
      </c>
      <c r="AA520">
        <v>16631</v>
      </c>
      <c r="AB520" t="s">
        <v>25</v>
      </c>
      <c r="AD520">
        <f t="shared" si="50"/>
        <v>0</v>
      </c>
      <c r="AE520">
        <f t="shared" si="51"/>
        <v>0</v>
      </c>
      <c r="AG520" t="s">
        <v>8</v>
      </c>
      <c r="AH520" t="s">
        <v>105</v>
      </c>
      <c r="BF520" t="s">
        <v>105</v>
      </c>
      <c r="BG520" t="s">
        <v>8</v>
      </c>
      <c r="BH520">
        <v>5</v>
      </c>
      <c r="BI520" t="s">
        <v>502</v>
      </c>
      <c r="CG520" t="s">
        <v>16</v>
      </c>
      <c r="CH520" t="s">
        <v>25</v>
      </c>
      <c r="CI520">
        <v>16631</v>
      </c>
      <c r="CJ520" t="s">
        <v>502</v>
      </c>
    </row>
    <row r="521" spans="1:88" x14ac:dyDescent="0.25">
      <c r="A521" t="s">
        <v>8</v>
      </c>
      <c r="B521" t="s">
        <v>325</v>
      </c>
      <c r="C521" t="s">
        <v>324</v>
      </c>
      <c r="D521">
        <v>38846</v>
      </c>
      <c r="E521">
        <v>5</v>
      </c>
      <c r="F521" s="24" t="str">
        <f t="shared" si="52"/>
        <v>2024-3</v>
      </c>
      <c r="O521" t="s">
        <v>5</v>
      </c>
      <c r="P521" t="s">
        <v>347</v>
      </c>
      <c r="Q521">
        <v>8</v>
      </c>
      <c r="AA521">
        <v>38846</v>
      </c>
      <c r="AB521" t="s">
        <v>325</v>
      </c>
      <c r="AD521">
        <f t="shared" si="50"/>
        <v>0</v>
      </c>
      <c r="AE521">
        <f t="shared" si="51"/>
        <v>0</v>
      </c>
      <c r="AG521" t="s">
        <v>5</v>
      </c>
      <c r="AH521" t="s">
        <v>347</v>
      </c>
      <c r="BF521" t="s">
        <v>347</v>
      </c>
      <c r="BG521" t="s">
        <v>5</v>
      </c>
      <c r="BH521">
        <v>8</v>
      </c>
      <c r="BI521" t="s">
        <v>502</v>
      </c>
      <c r="CG521" t="s">
        <v>8</v>
      </c>
      <c r="CH521" t="s">
        <v>325</v>
      </c>
      <c r="CI521">
        <v>38846</v>
      </c>
      <c r="CJ521" t="s">
        <v>502</v>
      </c>
    </row>
    <row r="522" spans="1:88" x14ac:dyDescent="0.25">
      <c r="A522" t="s">
        <v>35</v>
      </c>
      <c r="B522" t="s">
        <v>306</v>
      </c>
      <c r="C522" t="s">
        <v>324</v>
      </c>
      <c r="D522">
        <v>21339</v>
      </c>
      <c r="E522">
        <v>9</v>
      </c>
      <c r="F522" s="24" t="str">
        <f t="shared" si="52"/>
        <v>2024-3</v>
      </c>
      <c r="O522" t="s">
        <v>29</v>
      </c>
      <c r="P522" t="s">
        <v>101</v>
      </c>
      <c r="Q522">
        <v>2</v>
      </c>
      <c r="AA522">
        <v>21339</v>
      </c>
      <c r="AB522" t="s">
        <v>306</v>
      </c>
      <c r="AD522">
        <f t="shared" si="50"/>
        <v>0</v>
      </c>
      <c r="AE522">
        <f t="shared" si="51"/>
        <v>0</v>
      </c>
      <c r="AG522" t="s">
        <v>29</v>
      </c>
      <c r="AH522" t="s">
        <v>101</v>
      </c>
      <c r="BF522" t="s">
        <v>101</v>
      </c>
      <c r="BG522" t="s">
        <v>29</v>
      </c>
      <c r="BH522">
        <v>2</v>
      </c>
      <c r="BI522" t="s">
        <v>502</v>
      </c>
      <c r="CG522" t="s">
        <v>35</v>
      </c>
      <c r="CH522" t="s">
        <v>306</v>
      </c>
      <c r="CI522">
        <v>21339</v>
      </c>
      <c r="CJ522" t="s">
        <v>502</v>
      </c>
    </row>
    <row r="523" spans="1:88" x14ac:dyDescent="0.25">
      <c r="A523" t="s">
        <v>21</v>
      </c>
      <c r="B523" t="s">
        <v>129</v>
      </c>
      <c r="C523" t="s">
        <v>324</v>
      </c>
      <c r="D523">
        <v>66784</v>
      </c>
      <c r="E523">
        <v>7</v>
      </c>
      <c r="F523" s="24" t="str">
        <f t="shared" si="52"/>
        <v>2024-3</v>
      </c>
      <c r="O523" t="s">
        <v>16</v>
      </c>
      <c r="P523" t="s">
        <v>284</v>
      </c>
      <c r="Q523">
        <v>3</v>
      </c>
      <c r="AA523">
        <v>66784</v>
      </c>
      <c r="AB523" t="s">
        <v>129</v>
      </c>
      <c r="AD523">
        <f t="shared" si="50"/>
        <v>0</v>
      </c>
      <c r="AE523">
        <f t="shared" si="51"/>
        <v>0</v>
      </c>
      <c r="AG523" t="s">
        <v>16</v>
      </c>
      <c r="AH523" t="s">
        <v>284</v>
      </c>
      <c r="BF523" t="s">
        <v>284</v>
      </c>
      <c r="BG523" t="s">
        <v>16</v>
      </c>
      <c r="BH523">
        <v>3</v>
      </c>
      <c r="BI523" t="s">
        <v>502</v>
      </c>
      <c r="CG523" t="s">
        <v>21</v>
      </c>
      <c r="CH523" t="s">
        <v>129</v>
      </c>
      <c r="CI523">
        <v>66784</v>
      </c>
      <c r="CJ523" t="s">
        <v>502</v>
      </c>
    </row>
    <row r="524" spans="1:88" x14ac:dyDescent="0.25">
      <c r="A524" t="s">
        <v>75</v>
      </c>
      <c r="B524" t="s">
        <v>174</v>
      </c>
      <c r="C524" t="s">
        <v>324</v>
      </c>
      <c r="D524">
        <v>67006</v>
      </c>
      <c r="E524">
        <v>6</v>
      </c>
      <c r="F524" s="24" t="str">
        <f t="shared" si="52"/>
        <v>2024-3</v>
      </c>
      <c r="O524" t="s">
        <v>37</v>
      </c>
      <c r="P524" t="s">
        <v>190</v>
      </c>
      <c r="Q524">
        <v>9</v>
      </c>
      <c r="AA524">
        <v>67006</v>
      </c>
      <c r="AB524" t="s">
        <v>174</v>
      </c>
      <c r="AD524">
        <f t="shared" si="50"/>
        <v>0</v>
      </c>
      <c r="AE524">
        <f t="shared" si="51"/>
        <v>0</v>
      </c>
      <c r="AG524" t="s">
        <v>37</v>
      </c>
      <c r="AH524" t="s">
        <v>190</v>
      </c>
      <c r="BF524" t="s">
        <v>190</v>
      </c>
      <c r="BG524" t="s">
        <v>37</v>
      </c>
      <c r="BH524">
        <v>9</v>
      </c>
      <c r="BI524" t="s">
        <v>503</v>
      </c>
      <c r="CG524" t="s">
        <v>75</v>
      </c>
      <c r="CH524" t="s">
        <v>174</v>
      </c>
      <c r="CI524">
        <v>67006</v>
      </c>
      <c r="CJ524" t="s">
        <v>502</v>
      </c>
    </row>
    <row r="525" spans="1:88" x14ac:dyDescent="0.25">
      <c r="A525" t="s">
        <v>29</v>
      </c>
      <c r="B525" t="s">
        <v>116</v>
      </c>
      <c r="C525" t="s">
        <v>324</v>
      </c>
      <c r="D525">
        <v>47219</v>
      </c>
      <c r="E525">
        <v>5</v>
      </c>
      <c r="F525" s="24" t="str">
        <f t="shared" si="52"/>
        <v>2024-3</v>
      </c>
      <c r="O525" t="s">
        <v>35</v>
      </c>
      <c r="P525" t="s">
        <v>88</v>
      </c>
      <c r="Q525">
        <v>10</v>
      </c>
      <c r="AA525">
        <v>47219</v>
      </c>
      <c r="AB525" t="s">
        <v>116</v>
      </c>
      <c r="AD525">
        <f t="shared" si="50"/>
        <v>0</v>
      </c>
      <c r="AE525">
        <f t="shared" si="51"/>
        <v>0</v>
      </c>
      <c r="AG525" t="s">
        <v>35</v>
      </c>
      <c r="AH525" t="s">
        <v>88</v>
      </c>
      <c r="BF525" t="s">
        <v>88</v>
      </c>
      <c r="BG525" t="s">
        <v>35</v>
      </c>
      <c r="BH525">
        <v>10</v>
      </c>
      <c r="BI525" t="s">
        <v>503</v>
      </c>
      <c r="CG525" t="s">
        <v>29</v>
      </c>
      <c r="CH525" t="s">
        <v>116</v>
      </c>
      <c r="CI525">
        <v>47219</v>
      </c>
      <c r="CJ525" t="s">
        <v>502</v>
      </c>
    </row>
    <row r="526" spans="1:88" x14ac:dyDescent="0.25">
      <c r="A526" t="s">
        <v>21</v>
      </c>
      <c r="B526" t="s">
        <v>52</v>
      </c>
      <c r="C526" t="s">
        <v>324</v>
      </c>
      <c r="D526">
        <v>96040</v>
      </c>
      <c r="E526">
        <v>6</v>
      </c>
      <c r="F526" s="24" t="str">
        <f t="shared" si="52"/>
        <v>2024-3</v>
      </c>
      <c r="O526" t="s">
        <v>14</v>
      </c>
      <c r="P526" t="s">
        <v>234</v>
      </c>
      <c r="Q526">
        <v>9</v>
      </c>
      <c r="AA526">
        <v>96040</v>
      </c>
      <c r="AB526" t="s">
        <v>52</v>
      </c>
      <c r="AD526">
        <f t="shared" si="50"/>
        <v>0</v>
      </c>
      <c r="AE526">
        <f t="shared" si="51"/>
        <v>0</v>
      </c>
      <c r="AG526" t="s">
        <v>14</v>
      </c>
      <c r="AH526" t="s">
        <v>234</v>
      </c>
      <c r="BF526" t="s">
        <v>234</v>
      </c>
      <c r="BG526" t="s">
        <v>14</v>
      </c>
      <c r="BH526">
        <v>9</v>
      </c>
      <c r="BI526" t="s">
        <v>503</v>
      </c>
      <c r="CG526" t="s">
        <v>21</v>
      </c>
      <c r="CH526" t="s">
        <v>52</v>
      </c>
      <c r="CI526">
        <v>96040</v>
      </c>
      <c r="CJ526" t="s">
        <v>502</v>
      </c>
    </row>
    <row r="527" spans="1:88" x14ac:dyDescent="0.25">
      <c r="A527" t="s">
        <v>5</v>
      </c>
      <c r="B527" t="s">
        <v>255</v>
      </c>
      <c r="C527" t="s">
        <v>324</v>
      </c>
      <c r="D527">
        <v>38005</v>
      </c>
      <c r="E527">
        <v>3</v>
      </c>
      <c r="F527" s="24" t="str">
        <f t="shared" si="52"/>
        <v>2024-3</v>
      </c>
      <c r="O527" t="s">
        <v>16</v>
      </c>
      <c r="P527" t="s">
        <v>172</v>
      </c>
      <c r="Q527">
        <v>5</v>
      </c>
      <c r="AA527">
        <v>38005</v>
      </c>
      <c r="AB527" t="s">
        <v>255</v>
      </c>
      <c r="AD527">
        <f t="shared" si="50"/>
        <v>0</v>
      </c>
      <c r="AE527">
        <f t="shared" si="51"/>
        <v>0</v>
      </c>
      <c r="AG527" t="s">
        <v>16</v>
      </c>
      <c r="AH527" t="s">
        <v>172</v>
      </c>
      <c r="BF527" t="s">
        <v>172</v>
      </c>
      <c r="BG527" t="s">
        <v>16</v>
      </c>
      <c r="BH527">
        <v>5</v>
      </c>
      <c r="BI527" t="s">
        <v>503</v>
      </c>
      <c r="CG527" t="s">
        <v>5</v>
      </c>
      <c r="CH527" t="s">
        <v>255</v>
      </c>
      <c r="CI527">
        <v>38005</v>
      </c>
      <c r="CJ527" t="s">
        <v>502</v>
      </c>
    </row>
    <row r="528" spans="1:88" x14ac:dyDescent="0.25">
      <c r="A528" t="s">
        <v>10</v>
      </c>
      <c r="B528" t="s">
        <v>159</v>
      </c>
      <c r="C528" t="s">
        <v>324</v>
      </c>
      <c r="D528">
        <v>61007</v>
      </c>
      <c r="E528">
        <v>4</v>
      </c>
      <c r="F528" s="24" t="str">
        <f t="shared" si="52"/>
        <v>2024-3</v>
      </c>
      <c r="O528" t="s">
        <v>53</v>
      </c>
      <c r="P528" t="s">
        <v>197</v>
      </c>
      <c r="Q528">
        <v>5</v>
      </c>
      <c r="AA528">
        <v>61007</v>
      </c>
      <c r="AB528" t="s">
        <v>159</v>
      </c>
      <c r="AD528">
        <f t="shared" si="50"/>
        <v>0</v>
      </c>
      <c r="AE528">
        <f t="shared" si="51"/>
        <v>0</v>
      </c>
      <c r="AG528" t="s">
        <v>53</v>
      </c>
      <c r="AH528" t="s">
        <v>197</v>
      </c>
      <c r="BF528" t="s">
        <v>197</v>
      </c>
      <c r="BG528" t="s">
        <v>53</v>
      </c>
      <c r="BH528">
        <v>5</v>
      </c>
      <c r="BI528" t="s">
        <v>503</v>
      </c>
      <c r="CG528" t="s">
        <v>10</v>
      </c>
      <c r="CH528" t="s">
        <v>159</v>
      </c>
      <c r="CI528">
        <v>61007</v>
      </c>
      <c r="CJ528" t="s">
        <v>502</v>
      </c>
    </row>
    <row r="529" spans="1:88" x14ac:dyDescent="0.25">
      <c r="A529" t="s">
        <v>5</v>
      </c>
      <c r="B529" t="s">
        <v>34</v>
      </c>
      <c r="C529" t="s">
        <v>324</v>
      </c>
      <c r="D529">
        <v>89066</v>
      </c>
      <c r="E529">
        <v>1</v>
      </c>
      <c r="F529" s="24" t="str">
        <f t="shared" si="52"/>
        <v>2024-3</v>
      </c>
      <c r="O529" t="s">
        <v>37</v>
      </c>
      <c r="P529" t="s">
        <v>297</v>
      </c>
      <c r="Q529">
        <v>7</v>
      </c>
      <c r="AA529">
        <v>89066</v>
      </c>
      <c r="AB529" t="s">
        <v>34</v>
      </c>
      <c r="AD529">
        <f t="shared" si="50"/>
        <v>0</v>
      </c>
      <c r="AE529">
        <f t="shared" si="51"/>
        <v>0</v>
      </c>
      <c r="AG529" t="s">
        <v>37</v>
      </c>
      <c r="AH529" t="s">
        <v>297</v>
      </c>
      <c r="BF529" t="s">
        <v>297</v>
      </c>
      <c r="BG529" t="s">
        <v>37</v>
      </c>
      <c r="BH529">
        <v>7</v>
      </c>
      <c r="BI529" t="s">
        <v>503</v>
      </c>
      <c r="CG529" t="s">
        <v>5</v>
      </c>
      <c r="CH529" t="s">
        <v>34</v>
      </c>
      <c r="CI529">
        <v>89066</v>
      </c>
      <c r="CJ529" t="s">
        <v>502</v>
      </c>
    </row>
    <row r="530" spans="1:88" x14ac:dyDescent="0.25">
      <c r="A530" t="s">
        <v>35</v>
      </c>
      <c r="B530" t="s">
        <v>43</v>
      </c>
      <c r="C530" t="s">
        <v>324</v>
      </c>
      <c r="D530">
        <v>44478</v>
      </c>
      <c r="E530">
        <v>7</v>
      </c>
      <c r="F530" s="24" t="str">
        <f t="shared" si="52"/>
        <v>2024-3</v>
      </c>
      <c r="O530" t="s">
        <v>21</v>
      </c>
      <c r="P530" t="s">
        <v>121</v>
      </c>
      <c r="Q530">
        <v>6</v>
      </c>
      <c r="AA530">
        <v>44478</v>
      </c>
      <c r="AB530" t="s">
        <v>43</v>
      </c>
      <c r="AD530">
        <f t="shared" si="50"/>
        <v>0</v>
      </c>
      <c r="AE530">
        <f t="shared" si="51"/>
        <v>0</v>
      </c>
      <c r="AG530" t="s">
        <v>21</v>
      </c>
      <c r="AH530" t="s">
        <v>121</v>
      </c>
      <c r="BF530" t="s">
        <v>121</v>
      </c>
      <c r="BG530" t="s">
        <v>21</v>
      </c>
      <c r="BH530">
        <v>6</v>
      </c>
      <c r="BI530" t="s">
        <v>503</v>
      </c>
      <c r="CG530" t="s">
        <v>35</v>
      </c>
      <c r="CH530" t="s">
        <v>43</v>
      </c>
      <c r="CI530">
        <v>44478</v>
      </c>
      <c r="CJ530" t="s">
        <v>502</v>
      </c>
    </row>
    <row r="531" spans="1:88" x14ac:dyDescent="0.25">
      <c r="A531" t="s">
        <v>29</v>
      </c>
      <c r="B531" t="s">
        <v>172</v>
      </c>
      <c r="C531" t="s">
        <v>324</v>
      </c>
      <c r="D531">
        <v>85508</v>
      </c>
      <c r="E531">
        <v>9</v>
      </c>
      <c r="F531" s="24" t="str">
        <f t="shared" si="52"/>
        <v>2024-3</v>
      </c>
      <c r="O531" t="s">
        <v>53</v>
      </c>
      <c r="P531" t="s">
        <v>147</v>
      </c>
      <c r="Q531">
        <v>6</v>
      </c>
      <c r="AA531">
        <v>85508</v>
      </c>
      <c r="AB531" t="s">
        <v>172</v>
      </c>
      <c r="AD531">
        <f t="shared" si="50"/>
        <v>0</v>
      </c>
      <c r="AE531">
        <f t="shared" si="51"/>
        <v>0</v>
      </c>
      <c r="AG531" t="s">
        <v>53</v>
      </c>
      <c r="AH531" t="s">
        <v>147</v>
      </c>
      <c r="BF531" t="s">
        <v>147</v>
      </c>
      <c r="BG531" t="s">
        <v>53</v>
      </c>
      <c r="BH531">
        <v>6</v>
      </c>
      <c r="BI531" t="s">
        <v>503</v>
      </c>
      <c r="CG531" t="s">
        <v>29</v>
      </c>
      <c r="CH531" t="s">
        <v>172</v>
      </c>
      <c r="CI531">
        <v>85508</v>
      </c>
      <c r="CJ531" t="s">
        <v>502</v>
      </c>
    </row>
    <row r="532" spans="1:88" x14ac:dyDescent="0.25">
      <c r="A532" t="s">
        <v>10</v>
      </c>
      <c r="B532" t="s">
        <v>192</v>
      </c>
      <c r="C532" t="s">
        <v>324</v>
      </c>
      <c r="D532">
        <v>55135</v>
      </c>
      <c r="E532">
        <v>7</v>
      </c>
      <c r="F532" s="24" t="str">
        <f t="shared" si="52"/>
        <v>2024-3</v>
      </c>
      <c r="O532" t="s">
        <v>16</v>
      </c>
      <c r="P532" t="s">
        <v>92</v>
      </c>
      <c r="Q532">
        <v>6</v>
      </c>
      <c r="AA532">
        <v>55135</v>
      </c>
      <c r="AB532" t="s">
        <v>192</v>
      </c>
      <c r="AD532">
        <f t="shared" si="50"/>
        <v>0</v>
      </c>
      <c r="AE532">
        <f t="shared" si="51"/>
        <v>0</v>
      </c>
      <c r="AG532" t="s">
        <v>16</v>
      </c>
      <c r="AH532" t="s">
        <v>92</v>
      </c>
      <c r="BF532" t="s">
        <v>92</v>
      </c>
      <c r="BG532" t="s">
        <v>16</v>
      </c>
      <c r="BH532">
        <v>6</v>
      </c>
      <c r="BI532" t="s">
        <v>503</v>
      </c>
      <c r="CG532" t="s">
        <v>10</v>
      </c>
      <c r="CH532" t="s">
        <v>192</v>
      </c>
      <c r="CI532">
        <v>55135</v>
      </c>
      <c r="CJ532" t="s">
        <v>502</v>
      </c>
    </row>
    <row r="533" spans="1:88" x14ac:dyDescent="0.25">
      <c r="A533" t="s">
        <v>10</v>
      </c>
      <c r="B533" t="s">
        <v>50</v>
      </c>
      <c r="C533" t="s">
        <v>324</v>
      </c>
      <c r="D533">
        <v>94504</v>
      </c>
      <c r="E533">
        <v>9</v>
      </c>
      <c r="F533" s="24" t="str">
        <f t="shared" si="52"/>
        <v>2024-3</v>
      </c>
      <c r="O533" t="s">
        <v>55</v>
      </c>
      <c r="P533" t="s">
        <v>347</v>
      </c>
      <c r="Q533">
        <v>7</v>
      </c>
      <c r="AA533">
        <v>94504</v>
      </c>
      <c r="AB533" t="s">
        <v>50</v>
      </c>
      <c r="AD533">
        <f t="shared" si="50"/>
        <v>0</v>
      </c>
      <c r="AE533">
        <f t="shared" si="51"/>
        <v>0</v>
      </c>
      <c r="AG533" t="s">
        <v>55</v>
      </c>
      <c r="AH533" t="s">
        <v>347</v>
      </c>
      <c r="BF533" t="s">
        <v>347</v>
      </c>
      <c r="BG533" t="s">
        <v>55</v>
      </c>
      <c r="BH533">
        <v>7</v>
      </c>
      <c r="BI533" t="s">
        <v>503</v>
      </c>
      <c r="CG533" t="s">
        <v>10</v>
      </c>
      <c r="CH533" t="s">
        <v>50</v>
      </c>
      <c r="CI533">
        <v>94504</v>
      </c>
      <c r="CJ533" t="s">
        <v>502</v>
      </c>
    </row>
    <row r="534" spans="1:88" x14ac:dyDescent="0.25">
      <c r="A534" t="s">
        <v>16</v>
      </c>
      <c r="B534" t="s">
        <v>255</v>
      </c>
      <c r="C534" t="s">
        <v>326</v>
      </c>
      <c r="D534">
        <v>75237</v>
      </c>
      <c r="E534">
        <v>9</v>
      </c>
      <c r="F534" s="24" t="str">
        <f t="shared" si="52"/>
        <v>2024-3</v>
      </c>
      <c r="O534" t="s">
        <v>75</v>
      </c>
      <c r="P534" t="s">
        <v>196</v>
      </c>
      <c r="Q534">
        <v>10</v>
      </c>
      <c r="AA534">
        <v>75237</v>
      </c>
      <c r="AB534" t="s">
        <v>255</v>
      </c>
      <c r="AD534">
        <f t="shared" si="50"/>
        <v>0</v>
      </c>
      <c r="AE534">
        <f t="shared" si="51"/>
        <v>0</v>
      </c>
      <c r="AG534" t="s">
        <v>75</v>
      </c>
      <c r="AH534" t="s">
        <v>196</v>
      </c>
      <c r="BF534" t="s">
        <v>196</v>
      </c>
      <c r="BG534" t="s">
        <v>75</v>
      </c>
      <c r="BH534">
        <v>10</v>
      </c>
      <c r="BI534" t="s">
        <v>503</v>
      </c>
      <c r="CG534" t="s">
        <v>16</v>
      </c>
      <c r="CH534" t="s">
        <v>255</v>
      </c>
      <c r="CI534">
        <v>75237</v>
      </c>
      <c r="CJ534" t="s">
        <v>502</v>
      </c>
    </row>
    <row r="535" spans="1:88" x14ac:dyDescent="0.25">
      <c r="A535" t="s">
        <v>29</v>
      </c>
      <c r="B535" t="s">
        <v>229</v>
      </c>
      <c r="C535" t="s">
        <v>326</v>
      </c>
      <c r="D535">
        <v>97928</v>
      </c>
      <c r="E535">
        <v>6</v>
      </c>
      <c r="F535" s="24" t="str">
        <f t="shared" si="52"/>
        <v>2024-3</v>
      </c>
      <c r="O535" t="s">
        <v>21</v>
      </c>
      <c r="P535" t="s">
        <v>109</v>
      </c>
      <c r="Q535">
        <v>9</v>
      </c>
      <c r="AA535">
        <v>97928</v>
      </c>
      <c r="AB535" t="s">
        <v>229</v>
      </c>
      <c r="AD535">
        <f t="shared" si="50"/>
        <v>0</v>
      </c>
      <c r="AE535">
        <f t="shared" si="51"/>
        <v>0</v>
      </c>
      <c r="AG535" t="s">
        <v>21</v>
      </c>
      <c r="AH535" t="s">
        <v>109</v>
      </c>
      <c r="BF535" t="s">
        <v>109</v>
      </c>
      <c r="BG535" t="s">
        <v>21</v>
      </c>
      <c r="BH535">
        <v>9</v>
      </c>
      <c r="BI535" t="s">
        <v>503</v>
      </c>
      <c r="CG535" t="s">
        <v>29</v>
      </c>
      <c r="CH535" t="s">
        <v>229</v>
      </c>
      <c r="CI535">
        <v>97928</v>
      </c>
      <c r="CJ535" t="s">
        <v>502</v>
      </c>
    </row>
    <row r="536" spans="1:88" x14ac:dyDescent="0.25">
      <c r="A536" t="s">
        <v>29</v>
      </c>
      <c r="B536" t="s">
        <v>170</v>
      </c>
      <c r="C536" t="s">
        <v>326</v>
      </c>
      <c r="D536">
        <v>33614</v>
      </c>
      <c r="E536">
        <v>5</v>
      </c>
      <c r="F536" s="24" t="str">
        <f t="shared" si="52"/>
        <v>2024-3</v>
      </c>
      <c r="O536" t="s">
        <v>8</v>
      </c>
      <c r="P536" t="s">
        <v>353</v>
      </c>
      <c r="Q536">
        <v>9</v>
      </c>
      <c r="AA536">
        <v>33614</v>
      </c>
      <c r="AB536" t="s">
        <v>170</v>
      </c>
      <c r="AD536">
        <f t="shared" si="50"/>
        <v>0</v>
      </c>
      <c r="AE536">
        <f t="shared" si="51"/>
        <v>0</v>
      </c>
      <c r="AG536" t="s">
        <v>8</v>
      </c>
      <c r="AH536" t="s">
        <v>353</v>
      </c>
      <c r="BF536" t="s">
        <v>353</v>
      </c>
      <c r="BG536" t="s">
        <v>8</v>
      </c>
      <c r="BH536">
        <v>9</v>
      </c>
      <c r="BI536" t="s">
        <v>503</v>
      </c>
      <c r="CG536" t="s">
        <v>29</v>
      </c>
      <c r="CH536" t="s">
        <v>170</v>
      </c>
      <c r="CI536">
        <v>33614</v>
      </c>
      <c r="CJ536" t="s">
        <v>502</v>
      </c>
    </row>
    <row r="537" spans="1:88" x14ac:dyDescent="0.25">
      <c r="A537" t="s">
        <v>21</v>
      </c>
      <c r="B537" t="s">
        <v>327</v>
      </c>
      <c r="C537" t="s">
        <v>328</v>
      </c>
      <c r="D537">
        <v>63736</v>
      </c>
      <c r="E537">
        <v>8</v>
      </c>
      <c r="F537" s="24" t="str">
        <f t="shared" si="52"/>
        <v>2024-3</v>
      </c>
      <c r="O537" t="s">
        <v>21</v>
      </c>
      <c r="P537" t="s">
        <v>79</v>
      </c>
      <c r="Q537">
        <v>9</v>
      </c>
      <c r="AA537">
        <v>63736</v>
      </c>
      <c r="AB537" t="s">
        <v>327</v>
      </c>
      <c r="AD537">
        <f t="shared" si="50"/>
        <v>0</v>
      </c>
      <c r="AE537">
        <f t="shared" si="51"/>
        <v>0</v>
      </c>
      <c r="AG537" t="s">
        <v>21</v>
      </c>
      <c r="AH537" t="s">
        <v>79</v>
      </c>
      <c r="BF537" t="s">
        <v>79</v>
      </c>
      <c r="BG537" t="s">
        <v>21</v>
      </c>
      <c r="BH537">
        <v>9</v>
      </c>
      <c r="BI537" t="s">
        <v>503</v>
      </c>
      <c r="CG537" t="s">
        <v>21</v>
      </c>
      <c r="CH537" t="s">
        <v>327</v>
      </c>
      <c r="CI537">
        <v>63736</v>
      </c>
      <c r="CJ537" t="s">
        <v>502</v>
      </c>
    </row>
    <row r="538" spans="1:88" x14ac:dyDescent="0.25">
      <c r="A538" t="s">
        <v>55</v>
      </c>
      <c r="B538" t="s">
        <v>308</v>
      </c>
      <c r="C538" t="s">
        <v>328</v>
      </c>
      <c r="D538">
        <v>32038</v>
      </c>
      <c r="E538">
        <v>7</v>
      </c>
      <c r="F538" s="24" t="str">
        <f t="shared" si="52"/>
        <v>2024-3</v>
      </c>
      <c r="O538" t="s">
        <v>53</v>
      </c>
      <c r="P538" t="s">
        <v>170</v>
      </c>
      <c r="Q538">
        <v>1</v>
      </c>
      <c r="AA538">
        <v>32038</v>
      </c>
      <c r="AB538" t="s">
        <v>308</v>
      </c>
      <c r="AD538">
        <f t="shared" si="50"/>
        <v>0</v>
      </c>
      <c r="AE538">
        <f t="shared" si="51"/>
        <v>0</v>
      </c>
      <c r="AG538" t="s">
        <v>53</v>
      </c>
      <c r="AH538" t="s">
        <v>170</v>
      </c>
      <c r="BF538" t="s">
        <v>170</v>
      </c>
      <c r="BG538" t="s">
        <v>53</v>
      </c>
      <c r="BH538">
        <v>1</v>
      </c>
      <c r="BI538" t="s">
        <v>503</v>
      </c>
      <c r="CG538" t="s">
        <v>55</v>
      </c>
      <c r="CH538" t="s">
        <v>308</v>
      </c>
      <c r="CI538">
        <v>32038</v>
      </c>
      <c r="CJ538" t="s">
        <v>502</v>
      </c>
    </row>
    <row r="539" spans="1:88" x14ac:dyDescent="0.25">
      <c r="A539" t="s">
        <v>8</v>
      </c>
      <c r="B539" t="s">
        <v>142</v>
      </c>
      <c r="C539" t="s">
        <v>328</v>
      </c>
      <c r="D539">
        <v>24464</v>
      </c>
      <c r="E539">
        <v>5</v>
      </c>
      <c r="F539" s="24" t="str">
        <f t="shared" si="52"/>
        <v>2024-3</v>
      </c>
      <c r="O539" t="s">
        <v>29</v>
      </c>
      <c r="P539" t="s">
        <v>19</v>
      </c>
      <c r="Q539">
        <v>7</v>
      </c>
      <c r="AA539">
        <v>24464</v>
      </c>
      <c r="AB539" t="s">
        <v>142</v>
      </c>
      <c r="AD539">
        <f t="shared" si="50"/>
        <v>0</v>
      </c>
      <c r="AE539">
        <f t="shared" si="51"/>
        <v>0</v>
      </c>
      <c r="AG539" t="s">
        <v>29</v>
      </c>
      <c r="AH539" t="s">
        <v>19</v>
      </c>
      <c r="BF539" t="s">
        <v>19</v>
      </c>
      <c r="BG539" t="s">
        <v>29</v>
      </c>
      <c r="BH539">
        <v>7</v>
      </c>
      <c r="BI539" t="s">
        <v>503</v>
      </c>
      <c r="CG539" t="s">
        <v>8</v>
      </c>
      <c r="CH539" t="s">
        <v>142</v>
      </c>
      <c r="CI539">
        <v>24464</v>
      </c>
      <c r="CJ539" t="s">
        <v>502</v>
      </c>
    </row>
    <row r="540" spans="1:88" x14ac:dyDescent="0.25">
      <c r="A540" t="s">
        <v>35</v>
      </c>
      <c r="B540" t="s">
        <v>325</v>
      </c>
      <c r="C540" t="s">
        <v>328</v>
      </c>
      <c r="D540">
        <v>60002</v>
      </c>
      <c r="E540">
        <v>2</v>
      </c>
      <c r="F540" s="24" t="str">
        <f t="shared" si="52"/>
        <v>2024-3</v>
      </c>
      <c r="O540" t="s">
        <v>75</v>
      </c>
      <c r="P540" t="s">
        <v>129</v>
      </c>
      <c r="Q540">
        <v>7</v>
      </c>
      <c r="AA540">
        <v>60002</v>
      </c>
      <c r="AB540" t="s">
        <v>325</v>
      </c>
      <c r="AD540">
        <f t="shared" si="50"/>
        <v>0</v>
      </c>
      <c r="AE540">
        <f t="shared" si="51"/>
        <v>0</v>
      </c>
      <c r="AG540" t="s">
        <v>75</v>
      </c>
      <c r="AH540" t="s">
        <v>129</v>
      </c>
      <c r="BF540" t="s">
        <v>129</v>
      </c>
      <c r="BG540" t="s">
        <v>75</v>
      </c>
      <c r="BH540">
        <v>7</v>
      </c>
      <c r="BI540" t="s">
        <v>503</v>
      </c>
      <c r="CG540" t="s">
        <v>35</v>
      </c>
      <c r="CH540" t="s">
        <v>325</v>
      </c>
      <c r="CI540">
        <v>60002</v>
      </c>
      <c r="CJ540" t="s">
        <v>502</v>
      </c>
    </row>
    <row r="541" spans="1:88" x14ac:dyDescent="0.25">
      <c r="A541" t="s">
        <v>10</v>
      </c>
      <c r="B541" t="s">
        <v>110</v>
      </c>
      <c r="C541" t="s">
        <v>329</v>
      </c>
      <c r="D541">
        <v>19238</v>
      </c>
      <c r="E541">
        <v>9</v>
      </c>
      <c r="F541" s="24" t="str">
        <f t="shared" si="52"/>
        <v>2024-3</v>
      </c>
      <c r="O541" t="s">
        <v>5</v>
      </c>
      <c r="P541" t="s">
        <v>48</v>
      </c>
      <c r="Q541">
        <v>5</v>
      </c>
      <c r="AA541">
        <v>19238</v>
      </c>
      <c r="AB541" t="s">
        <v>110</v>
      </c>
      <c r="AD541">
        <f t="shared" si="50"/>
        <v>0</v>
      </c>
      <c r="AE541">
        <f t="shared" si="51"/>
        <v>0</v>
      </c>
      <c r="AG541" t="s">
        <v>5</v>
      </c>
      <c r="AH541" t="s">
        <v>48</v>
      </c>
      <c r="BF541" t="s">
        <v>48</v>
      </c>
      <c r="BG541" t="s">
        <v>5</v>
      </c>
      <c r="BH541">
        <v>5</v>
      </c>
      <c r="BI541" t="s">
        <v>503</v>
      </c>
      <c r="CG541" t="s">
        <v>10</v>
      </c>
      <c r="CH541" t="s">
        <v>110</v>
      </c>
      <c r="CI541">
        <v>19238</v>
      </c>
      <c r="CJ541" t="s">
        <v>502</v>
      </c>
    </row>
    <row r="542" spans="1:88" x14ac:dyDescent="0.25">
      <c r="A542" t="s">
        <v>53</v>
      </c>
      <c r="B542" t="s">
        <v>132</v>
      </c>
      <c r="C542" t="s">
        <v>329</v>
      </c>
      <c r="D542">
        <v>22480</v>
      </c>
      <c r="E542">
        <v>3</v>
      </c>
      <c r="F542" s="24" t="str">
        <f t="shared" si="52"/>
        <v>2024-3</v>
      </c>
      <c r="O542" t="s">
        <v>16</v>
      </c>
      <c r="P542" t="s">
        <v>142</v>
      </c>
      <c r="Q542">
        <v>8</v>
      </c>
      <c r="AA542">
        <v>22480</v>
      </c>
      <c r="AB542" t="s">
        <v>132</v>
      </c>
      <c r="AD542">
        <f t="shared" si="50"/>
        <v>0</v>
      </c>
      <c r="AE542">
        <f t="shared" si="51"/>
        <v>0</v>
      </c>
      <c r="AG542" t="s">
        <v>16</v>
      </c>
      <c r="AH542" t="s">
        <v>142</v>
      </c>
      <c r="BF542" t="s">
        <v>142</v>
      </c>
      <c r="BG542" t="s">
        <v>16</v>
      </c>
      <c r="BH542">
        <v>8</v>
      </c>
      <c r="BI542" t="s">
        <v>503</v>
      </c>
      <c r="CG542" t="s">
        <v>53</v>
      </c>
      <c r="CH542" t="s">
        <v>132</v>
      </c>
      <c r="CI542">
        <v>22480</v>
      </c>
      <c r="CJ542" t="s">
        <v>502</v>
      </c>
    </row>
    <row r="543" spans="1:88" x14ac:dyDescent="0.25">
      <c r="A543" t="s">
        <v>53</v>
      </c>
      <c r="B543" t="s">
        <v>137</v>
      </c>
      <c r="C543" t="s">
        <v>329</v>
      </c>
      <c r="D543">
        <v>98901</v>
      </c>
      <c r="E543">
        <v>7</v>
      </c>
      <c r="F543" s="24" t="str">
        <f t="shared" si="52"/>
        <v>2024-3</v>
      </c>
      <c r="O543" t="s">
        <v>75</v>
      </c>
      <c r="P543" t="s">
        <v>50</v>
      </c>
      <c r="Q543">
        <v>6</v>
      </c>
      <c r="AA543">
        <v>98901</v>
      </c>
      <c r="AB543" t="s">
        <v>137</v>
      </c>
      <c r="AD543">
        <f t="shared" si="50"/>
        <v>0</v>
      </c>
      <c r="AE543">
        <f t="shared" si="51"/>
        <v>0</v>
      </c>
      <c r="AG543" t="s">
        <v>75</v>
      </c>
      <c r="AH543" t="s">
        <v>50</v>
      </c>
      <c r="BF543" t="s">
        <v>50</v>
      </c>
      <c r="BG543" t="s">
        <v>75</v>
      </c>
      <c r="BH543">
        <v>6</v>
      </c>
      <c r="BI543" t="s">
        <v>503</v>
      </c>
      <c r="CG543" t="s">
        <v>53</v>
      </c>
      <c r="CH543" t="s">
        <v>137</v>
      </c>
      <c r="CI543">
        <v>98901</v>
      </c>
      <c r="CJ543" t="s">
        <v>502</v>
      </c>
    </row>
    <row r="544" spans="1:88" x14ac:dyDescent="0.25">
      <c r="A544" t="s">
        <v>14</v>
      </c>
      <c r="B544" t="s">
        <v>112</v>
      </c>
      <c r="C544" t="s">
        <v>329</v>
      </c>
      <c r="D544">
        <v>90402</v>
      </c>
      <c r="E544">
        <v>6</v>
      </c>
      <c r="F544" s="24" t="str">
        <f t="shared" si="52"/>
        <v>2024-3</v>
      </c>
      <c r="O544" t="s">
        <v>75</v>
      </c>
      <c r="P544" t="s">
        <v>101</v>
      </c>
      <c r="Q544">
        <v>7</v>
      </c>
      <c r="AA544">
        <v>90402</v>
      </c>
      <c r="AB544" t="s">
        <v>112</v>
      </c>
      <c r="AD544">
        <f t="shared" si="50"/>
        <v>0</v>
      </c>
      <c r="AE544">
        <f t="shared" si="51"/>
        <v>0</v>
      </c>
      <c r="AG544" t="s">
        <v>75</v>
      </c>
      <c r="AH544" t="s">
        <v>101</v>
      </c>
      <c r="BF544" t="s">
        <v>101</v>
      </c>
      <c r="BG544" t="s">
        <v>75</v>
      </c>
      <c r="BH544">
        <v>7</v>
      </c>
      <c r="BI544" t="s">
        <v>503</v>
      </c>
      <c r="CG544" t="s">
        <v>14</v>
      </c>
      <c r="CH544" t="s">
        <v>112</v>
      </c>
      <c r="CI544">
        <v>90402</v>
      </c>
      <c r="CJ544" t="s">
        <v>502</v>
      </c>
    </row>
    <row r="545" spans="1:88" x14ac:dyDescent="0.25">
      <c r="A545" t="s">
        <v>8</v>
      </c>
      <c r="B545" t="s">
        <v>321</v>
      </c>
      <c r="C545" t="s">
        <v>330</v>
      </c>
      <c r="D545">
        <v>53566</v>
      </c>
      <c r="E545">
        <v>7</v>
      </c>
      <c r="F545" s="24" t="str">
        <f t="shared" si="52"/>
        <v>2024-3</v>
      </c>
      <c r="O545" t="s">
        <v>10</v>
      </c>
      <c r="P545" t="s">
        <v>170</v>
      </c>
      <c r="Q545">
        <v>3</v>
      </c>
      <c r="AA545">
        <v>53566</v>
      </c>
      <c r="AB545" t="s">
        <v>321</v>
      </c>
      <c r="AD545">
        <f t="shared" si="50"/>
        <v>0</v>
      </c>
      <c r="AE545">
        <f t="shared" si="51"/>
        <v>0</v>
      </c>
      <c r="AG545" t="s">
        <v>10</v>
      </c>
      <c r="AH545" t="s">
        <v>170</v>
      </c>
      <c r="BF545" t="s">
        <v>170</v>
      </c>
      <c r="BG545" t="s">
        <v>10</v>
      </c>
      <c r="BH545">
        <v>3</v>
      </c>
      <c r="BI545" t="s">
        <v>503</v>
      </c>
      <c r="CG545" t="s">
        <v>8</v>
      </c>
      <c r="CH545" t="s">
        <v>321</v>
      </c>
      <c r="CI545">
        <v>53566</v>
      </c>
      <c r="CJ545" t="s">
        <v>502</v>
      </c>
    </row>
    <row r="546" spans="1:88" x14ac:dyDescent="0.25">
      <c r="A546" t="s">
        <v>35</v>
      </c>
      <c r="B546" t="s">
        <v>193</v>
      </c>
      <c r="C546" t="s">
        <v>330</v>
      </c>
      <c r="D546">
        <v>44710</v>
      </c>
      <c r="E546">
        <v>8</v>
      </c>
      <c r="F546" s="24" t="str">
        <f t="shared" si="52"/>
        <v>2024-3</v>
      </c>
      <c r="O546" t="s">
        <v>75</v>
      </c>
      <c r="P546" t="s">
        <v>109</v>
      </c>
      <c r="Q546">
        <v>8</v>
      </c>
      <c r="AA546">
        <v>44710</v>
      </c>
      <c r="AB546" t="s">
        <v>193</v>
      </c>
      <c r="AD546">
        <f t="shared" si="50"/>
        <v>0</v>
      </c>
      <c r="AE546">
        <f t="shared" si="51"/>
        <v>0</v>
      </c>
      <c r="AG546" t="s">
        <v>75</v>
      </c>
      <c r="AH546" t="s">
        <v>109</v>
      </c>
      <c r="BF546" t="s">
        <v>109</v>
      </c>
      <c r="BG546" t="s">
        <v>75</v>
      </c>
      <c r="BH546">
        <v>8</v>
      </c>
      <c r="BI546" t="s">
        <v>503</v>
      </c>
      <c r="CG546" t="s">
        <v>35</v>
      </c>
      <c r="CH546" t="s">
        <v>193</v>
      </c>
      <c r="CI546">
        <v>44710</v>
      </c>
      <c r="CJ546" t="s">
        <v>502</v>
      </c>
    </row>
    <row r="547" spans="1:88" x14ac:dyDescent="0.25">
      <c r="A547" t="s">
        <v>53</v>
      </c>
      <c r="B547" t="s">
        <v>94</v>
      </c>
      <c r="C547" t="s">
        <v>331</v>
      </c>
      <c r="D547">
        <v>31932</v>
      </c>
      <c r="E547">
        <v>10</v>
      </c>
      <c r="F547" s="24" t="str">
        <f t="shared" si="52"/>
        <v>2024-3</v>
      </c>
      <c r="O547" t="s">
        <v>16</v>
      </c>
      <c r="P547" t="s">
        <v>22</v>
      </c>
      <c r="Q547">
        <v>8</v>
      </c>
      <c r="AA547">
        <v>31932</v>
      </c>
      <c r="AB547" t="s">
        <v>94</v>
      </c>
      <c r="AD547">
        <f t="shared" si="50"/>
        <v>0</v>
      </c>
      <c r="AE547">
        <f t="shared" si="51"/>
        <v>0</v>
      </c>
      <c r="AG547" t="s">
        <v>16</v>
      </c>
      <c r="AH547" t="s">
        <v>22</v>
      </c>
      <c r="BF547" t="s">
        <v>22</v>
      </c>
      <c r="BG547" t="s">
        <v>16</v>
      </c>
      <c r="BH547">
        <v>8</v>
      </c>
      <c r="BI547" t="s">
        <v>503</v>
      </c>
      <c r="CG547" t="s">
        <v>53</v>
      </c>
      <c r="CH547" t="s">
        <v>94</v>
      </c>
      <c r="CI547">
        <v>31932</v>
      </c>
      <c r="CJ547" t="s">
        <v>502</v>
      </c>
    </row>
    <row r="548" spans="1:88" x14ac:dyDescent="0.25">
      <c r="A548" t="s">
        <v>35</v>
      </c>
      <c r="B548" t="s">
        <v>81</v>
      </c>
      <c r="C548" t="s">
        <v>331</v>
      </c>
      <c r="D548">
        <v>84393</v>
      </c>
      <c r="E548">
        <v>5</v>
      </c>
      <c r="F548" s="24" t="str">
        <f t="shared" si="52"/>
        <v>2024-3</v>
      </c>
      <c r="O548" t="s">
        <v>37</v>
      </c>
      <c r="P548" t="s">
        <v>247</v>
      </c>
      <c r="Q548">
        <v>8</v>
      </c>
      <c r="AA548">
        <v>84393</v>
      </c>
      <c r="AB548" t="s">
        <v>81</v>
      </c>
      <c r="AD548">
        <f t="shared" si="50"/>
        <v>0</v>
      </c>
      <c r="AE548">
        <f t="shared" si="51"/>
        <v>0</v>
      </c>
      <c r="AG548" t="s">
        <v>37</v>
      </c>
      <c r="AH548" t="s">
        <v>247</v>
      </c>
      <c r="BF548" t="s">
        <v>247</v>
      </c>
      <c r="BG548" t="s">
        <v>37</v>
      </c>
      <c r="BH548">
        <v>8</v>
      </c>
      <c r="BI548" t="s">
        <v>503</v>
      </c>
      <c r="CG548" t="s">
        <v>35</v>
      </c>
      <c r="CH548" t="s">
        <v>81</v>
      </c>
      <c r="CI548">
        <v>84393</v>
      </c>
      <c r="CJ548" t="s">
        <v>502</v>
      </c>
    </row>
    <row r="549" spans="1:88" x14ac:dyDescent="0.25">
      <c r="A549" t="s">
        <v>37</v>
      </c>
      <c r="B549" t="s">
        <v>151</v>
      </c>
      <c r="C549" t="s">
        <v>331</v>
      </c>
      <c r="D549">
        <v>25053</v>
      </c>
      <c r="E549">
        <v>3</v>
      </c>
      <c r="F549" s="24" t="str">
        <f t="shared" si="52"/>
        <v>2024-3</v>
      </c>
      <c r="O549" t="s">
        <v>8</v>
      </c>
      <c r="P549" t="s">
        <v>224</v>
      </c>
      <c r="Q549">
        <v>10</v>
      </c>
      <c r="AA549">
        <v>25053</v>
      </c>
      <c r="AB549" t="s">
        <v>151</v>
      </c>
      <c r="AD549">
        <f t="shared" si="50"/>
        <v>0</v>
      </c>
      <c r="AE549">
        <f t="shared" si="51"/>
        <v>0</v>
      </c>
      <c r="AG549" t="s">
        <v>8</v>
      </c>
      <c r="AH549" t="s">
        <v>224</v>
      </c>
      <c r="BF549" t="s">
        <v>224</v>
      </c>
      <c r="BG549" t="s">
        <v>8</v>
      </c>
      <c r="BH549">
        <v>10</v>
      </c>
      <c r="BI549" t="s">
        <v>503</v>
      </c>
      <c r="CG549" t="s">
        <v>37</v>
      </c>
      <c r="CH549" t="s">
        <v>151</v>
      </c>
      <c r="CI549">
        <v>25053</v>
      </c>
      <c r="CJ549" t="s">
        <v>502</v>
      </c>
    </row>
    <row r="550" spans="1:88" x14ac:dyDescent="0.25">
      <c r="A550" t="s">
        <v>35</v>
      </c>
      <c r="B550" t="s">
        <v>45</v>
      </c>
      <c r="C550" t="s">
        <v>331</v>
      </c>
      <c r="D550">
        <v>81402</v>
      </c>
      <c r="E550">
        <v>9</v>
      </c>
      <c r="F550" s="24" t="str">
        <f t="shared" si="52"/>
        <v>2024-3</v>
      </c>
      <c r="O550" t="s">
        <v>10</v>
      </c>
      <c r="P550" t="s">
        <v>361</v>
      </c>
      <c r="Q550">
        <v>8</v>
      </c>
      <c r="AA550">
        <v>81402</v>
      </c>
      <c r="AB550" t="s">
        <v>45</v>
      </c>
      <c r="AD550">
        <f t="shared" si="50"/>
        <v>0</v>
      </c>
      <c r="AE550">
        <f t="shared" si="51"/>
        <v>0</v>
      </c>
      <c r="AG550" t="s">
        <v>10</v>
      </c>
      <c r="AH550" t="s">
        <v>361</v>
      </c>
      <c r="BF550" t="s">
        <v>361</v>
      </c>
      <c r="BG550" t="s">
        <v>10</v>
      </c>
      <c r="BH550">
        <v>8</v>
      </c>
      <c r="BI550" t="s">
        <v>503</v>
      </c>
      <c r="CG550" t="s">
        <v>35</v>
      </c>
      <c r="CH550" t="s">
        <v>45</v>
      </c>
      <c r="CI550">
        <v>81402</v>
      </c>
      <c r="CJ550" t="s">
        <v>502</v>
      </c>
    </row>
    <row r="551" spans="1:88" x14ac:dyDescent="0.25">
      <c r="A551" t="s">
        <v>35</v>
      </c>
      <c r="B551" t="s">
        <v>82</v>
      </c>
      <c r="C551" t="s">
        <v>331</v>
      </c>
      <c r="D551">
        <v>30726</v>
      </c>
      <c r="E551">
        <v>2</v>
      </c>
      <c r="F551" s="24" t="str">
        <f t="shared" si="52"/>
        <v>2024-3</v>
      </c>
      <c r="O551" t="s">
        <v>14</v>
      </c>
      <c r="P551" t="s">
        <v>160</v>
      </c>
      <c r="Q551">
        <v>9</v>
      </c>
      <c r="AA551">
        <v>30726</v>
      </c>
      <c r="AB551" t="s">
        <v>82</v>
      </c>
      <c r="AD551">
        <f t="shared" si="50"/>
        <v>0</v>
      </c>
      <c r="AE551">
        <f t="shared" si="51"/>
        <v>0</v>
      </c>
      <c r="AG551" t="s">
        <v>14</v>
      </c>
      <c r="AH551" t="s">
        <v>160</v>
      </c>
      <c r="BF551" t="s">
        <v>160</v>
      </c>
      <c r="BG551" t="s">
        <v>14</v>
      </c>
      <c r="BH551">
        <v>9</v>
      </c>
      <c r="BI551" t="s">
        <v>503</v>
      </c>
      <c r="CG551" t="s">
        <v>35</v>
      </c>
      <c r="CH551" t="s">
        <v>82</v>
      </c>
      <c r="CI551">
        <v>30726</v>
      </c>
      <c r="CJ551" t="s">
        <v>502</v>
      </c>
    </row>
    <row r="552" spans="1:88" x14ac:dyDescent="0.25">
      <c r="A552" t="s">
        <v>37</v>
      </c>
      <c r="B552" t="s">
        <v>82</v>
      </c>
      <c r="C552" t="s">
        <v>331</v>
      </c>
      <c r="D552">
        <v>31271</v>
      </c>
      <c r="E552">
        <v>9</v>
      </c>
      <c r="F552" s="24" t="str">
        <f t="shared" si="52"/>
        <v>2024-3</v>
      </c>
      <c r="O552" t="s">
        <v>10</v>
      </c>
      <c r="P552" t="s">
        <v>9</v>
      </c>
      <c r="Q552">
        <v>8</v>
      </c>
      <c r="AA552">
        <v>31271</v>
      </c>
      <c r="AB552" t="s">
        <v>82</v>
      </c>
      <c r="AD552">
        <f t="shared" si="50"/>
        <v>0</v>
      </c>
      <c r="AE552">
        <f t="shared" si="51"/>
        <v>0</v>
      </c>
      <c r="AG552" t="s">
        <v>10</v>
      </c>
      <c r="AH552" t="s">
        <v>9</v>
      </c>
      <c r="BF552" t="s">
        <v>9</v>
      </c>
      <c r="BG552" t="s">
        <v>10</v>
      </c>
      <c r="BH552">
        <v>8</v>
      </c>
      <c r="BI552" t="s">
        <v>503</v>
      </c>
      <c r="CG552" t="s">
        <v>37</v>
      </c>
      <c r="CH552" t="s">
        <v>82</v>
      </c>
      <c r="CI552">
        <v>31271</v>
      </c>
      <c r="CJ552" t="s">
        <v>502</v>
      </c>
    </row>
    <row r="553" spans="1:88" x14ac:dyDescent="0.25">
      <c r="A553" t="s">
        <v>16</v>
      </c>
      <c r="B553" t="s">
        <v>98</v>
      </c>
      <c r="C553" t="s">
        <v>331</v>
      </c>
      <c r="D553">
        <v>36454</v>
      </c>
      <c r="E553">
        <v>7</v>
      </c>
      <c r="F553" s="24" t="str">
        <f t="shared" si="52"/>
        <v>2024-3</v>
      </c>
      <c r="O553" t="s">
        <v>10</v>
      </c>
      <c r="P553" t="s">
        <v>121</v>
      </c>
      <c r="Q553">
        <v>7</v>
      </c>
      <c r="AA553">
        <v>36454</v>
      </c>
      <c r="AB553" t="s">
        <v>98</v>
      </c>
      <c r="AD553">
        <f t="shared" si="50"/>
        <v>0</v>
      </c>
      <c r="AE553">
        <f t="shared" si="51"/>
        <v>0</v>
      </c>
      <c r="AG553" t="s">
        <v>10</v>
      </c>
      <c r="AH553" t="s">
        <v>121</v>
      </c>
      <c r="BF553" t="s">
        <v>121</v>
      </c>
      <c r="BG553" t="s">
        <v>10</v>
      </c>
      <c r="BH553">
        <v>7</v>
      </c>
      <c r="BI553" t="s">
        <v>503</v>
      </c>
      <c r="CG553" t="s">
        <v>16</v>
      </c>
      <c r="CH553" t="s">
        <v>98</v>
      </c>
      <c r="CI553">
        <v>36454</v>
      </c>
      <c r="CJ553" t="s">
        <v>502</v>
      </c>
    </row>
    <row r="554" spans="1:88" x14ac:dyDescent="0.25">
      <c r="A554" t="s">
        <v>29</v>
      </c>
      <c r="B554" t="s">
        <v>181</v>
      </c>
      <c r="C554" t="s">
        <v>331</v>
      </c>
      <c r="D554">
        <v>81928</v>
      </c>
      <c r="E554">
        <v>7</v>
      </c>
      <c r="F554" s="24" t="str">
        <f t="shared" si="52"/>
        <v>2024-3</v>
      </c>
      <c r="O554" t="s">
        <v>35</v>
      </c>
      <c r="P554" t="s">
        <v>111</v>
      </c>
      <c r="Q554">
        <v>8</v>
      </c>
      <c r="AA554">
        <v>81928</v>
      </c>
      <c r="AB554" t="s">
        <v>181</v>
      </c>
      <c r="AD554">
        <f t="shared" si="50"/>
        <v>0</v>
      </c>
      <c r="AE554">
        <f t="shared" si="51"/>
        <v>0</v>
      </c>
      <c r="AG554" t="s">
        <v>35</v>
      </c>
      <c r="AH554" t="s">
        <v>111</v>
      </c>
      <c r="BF554" t="s">
        <v>111</v>
      </c>
      <c r="BG554" t="s">
        <v>35</v>
      </c>
      <c r="BH554">
        <v>8</v>
      </c>
      <c r="BI554" t="s">
        <v>503</v>
      </c>
      <c r="CG554" t="s">
        <v>29</v>
      </c>
      <c r="CH554" t="s">
        <v>181</v>
      </c>
      <c r="CI554">
        <v>81928</v>
      </c>
      <c r="CJ554" t="s">
        <v>502</v>
      </c>
    </row>
    <row r="555" spans="1:88" x14ac:dyDescent="0.25">
      <c r="A555" t="s">
        <v>14</v>
      </c>
      <c r="B555" t="s">
        <v>197</v>
      </c>
      <c r="C555" t="s">
        <v>332</v>
      </c>
      <c r="D555">
        <v>64215</v>
      </c>
      <c r="E555">
        <v>8</v>
      </c>
      <c r="F555" s="24" t="str">
        <f t="shared" si="52"/>
        <v>2024-3</v>
      </c>
      <c r="O555" t="s">
        <v>14</v>
      </c>
      <c r="P555" t="s">
        <v>247</v>
      </c>
      <c r="Q555">
        <v>4</v>
      </c>
      <c r="AA555">
        <v>64215</v>
      </c>
      <c r="AB555" t="s">
        <v>197</v>
      </c>
      <c r="AD555">
        <f t="shared" si="50"/>
        <v>0</v>
      </c>
      <c r="AE555">
        <f t="shared" si="51"/>
        <v>0</v>
      </c>
      <c r="AG555" t="s">
        <v>14</v>
      </c>
      <c r="AH555" t="s">
        <v>247</v>
      </c>
      <c r="BF555" t="s">
        <v>247</v>
      </c>
      <c r="BG555" t="s">
        <v>14</v>
      </c>
      <c r="BH555">
        <v>4</v>
      </c>
      <c r="BI555" t="s">
        <v>503</v>
      </c>
      <c r="CG555" t="s">
        <v>14</v>
      </c>
      <c r="CH555" t="s">
        <v>197</v>
      </c>
      <c r="CI555">
        <v>64215</v>
      </c>
      <c r="CJ555" t="s">
        <v>502</v>
      </c>
    </row>
    <row r="556" spans="1:88" x14ac:dyDescent="0.25">
      <c r="A556" t="s">
        <v>14</v>
      </c>
      <c r="B556" t="s">
        <v>46</v>
      </c>
      <c r="C556" t="s">
        <v>333</v>
      </c>
      <c r="D556">
        <v>44074</v>
      </c>
      <c r="E556">
        <v>10</v>
      </c>
      <c r="F556" s="24" t="str">
        <f t="shared" si="52"/>
        <v>2024-3</v>
      </c>
      <c r="O556" t="s">
        <v>14</v>
      </c>
      <c r="P556" t="s">
        <v>82</v>
      </c>
      <c r="Q556">
        <v>9</v>
      </c>
      <c r="AA556">
        <v>44074</v>
      </c>
      <c r="AB556" t="s">
        <v>46</v>
      </c>
      <c r="AD556">
        <f t="shared" si="50"/>
        <v>0</v>
      </c>
      <c r="AE556">
        <f t="shared" si="51"/>
        <v>0</v>
      </c>
      <c r="AG556" t="s">
        <v>14</v>
      </c>
      <c r="AH556" t="s">
        <v>82</v>
      </c>
      <c r="BF556" t="s">
        <v>82</v>
      </c>
      <c r="BG556" t="s">
        <v>14</v>
      </c>
      <c r="BH556">
        <v>9</v>
      </c>
      <c r="BI556" t="s">
        <v>503</v>
      </c>
      <c r="CG556" t="s">
        <v>14</v>
      </c>
      <c r="CH556" t="s">
        <v>46</v>
      </c>
      <c r="CI556">
        <v>44074</v>
      </c>
      <c r="CJ556" t="s">
        <v>502</v>
      </c>
    </row>
    <row r="557" spans="1:88" x14ac:dyDescent="0.25">
      <c r="A557" t="s">
        <v>10</v>
      </c>
      <c r="B557" t="s">
        <v>27</v>
      </c>
      <c r="C557" t="s">
        <v>333</v>
      </c>
      <c r="D557">
        <v>26275</v>
      </c>
      <c r="E557">
        <v>7</v>
      </c>
      <c r="F557" s="24" t="str">
        <f t="shared" si="52"/>
        <v>2024-3</v>
      </c>
      <c r="O557" t="s">
        <v>10</v>
      </c>
      <c r="P557" t="s">
        <v>214</v>
      </c>
      <c r="Q557">
        <v>5</v>
      </c>
      <c r="AA557">
        <v>26275</v>
      </c>
      <c r="AB557" t="s">
        <v>27</v>
      </c>
      <c r="AD557">
        <f t="shared" si="50"/>
        <v>0</v>
      </c>
      <c r="AE557">
        <f t="shared" si="51"/>
        <v>0</v>
      </c>
      <c r="AG557" t="s">
        <v>10</v>
      </c>
      <c r="AH557" t="s">
        <v>214</v>
      </c>
      <c r="BF557" t="s">
        <v>214</v>
      </c>
      <c r="BG557" t="s">
        <v>10</v>
      </c>
      <c r="BH557">
        <v>5</v>
      </c>
      <c r="BI557" t="s">
        <v>503</v>
      </c>
      <c r="CG557" t="s">
        <v>10</v>
      </c>
      <c r="CH557" t="s">
        <v>27</v>
      </c>
      <c r="CI557">
        <v>26275</v>
      </c>
      <c r="CJ557" t="s">
        <v>502</v>
      </c>
    </row>
    <row r="558" spans="1:88" x14ac:dyDescent="0.25">
      <c r="A558" t="s">
        <v>55</v>
      </c>
      <c r="B558" t="s">
        <v>209</v>
      </c>
      <c r="C558" t="s">
        <v>333</v>
      </c>
      <c r="D558">
        <v>23538</v>
      </c>
      <c r="E558">
        <v>6</v>
      </c>
      <c r="F558" s="24" t="str">
        <f t="shared" si="52"/>
        <v>2024-3</v>
      </c>
      <c r="O558" t="s">
        <v>53</v>
      </c>
      <c r="P558" t="s">
        <v>33</v>
      </c>
      <c r="Q558">
        <v>8</v>
      </c>
      <c r="AA558">
        <v>23538</v>
      </c>
      <c r="AB558" t="s">
        <v>209</v>
      </c>
      <c r="AD558">
        <f t="shared" si="50"/>
        <v>0</v>
      </c>
      <c r="AE558">
        <f t="shared" si="51"/>
        <v>0</v>
      </c>
      <c r="AG558" t="s">
        <v>53</v>
      </c>
      <c r="AH558" t="s">
        <v>33</v>
      </c>
      <c r="BF558" t="s">
        <v>33</v>
      </c>
      <c r="BG558" t="s">
        <v>53</v>
      </c>
      <c r="BH558">
        <v>8</v>
      </c>
      <c r="BI558" t="s">
        <v>503</v>
      </c>
      <c r="CG558" t="s">
        <v>55</v>
      </c>
      <c r="CH558" t="s">
        <v>209</v>
      </c>
      <c r="CI558">
        <v>23538</v>
      </c>
      <c r="CJ558" t="s">
        <v>502</v>
      </c>
    </row>
    <row r="559" spans="1:88" x14ac:dyDescent="0.25">
      <c r="A559" t="s">
        <v>14</v>
      </c>
      <c r="B559" t="s">
        <v>130</v>
      </c>
      <c r="C559" t="s">
        <v>333</v>
      </c>
      <c r="D559">
        <v>58511</v>
      </c>
      <c r="E559">
        <v>4</v>
      </c>
      <c r="F559" s="24" t="str">
        <f t="shared" si="52"/>
        <v>2024-3</v>
      </c>
      <c r="O559" t="s">
        <v>8</v>
      </c>
      <c r="P559" t="s">
        <v>113</v>
      </c>
      <c r="Q559">
        <v>9</v>
      </c>
      <c r="AA559">
        <v>58511</v>
      </c>
      <c r="AB559" t="s">
        <v>130</v>
      </c>
      <c r="AD559">
        <f t="shared" si="50"/>
        <v>0</v>
      </c>
      <c r="AE559">
        <f t="shared" si="51"/>
        <v>0</v>
      </c>
      <c r="AG559" t="s">
        <v>8</v>
      </c>
      <c r="AH559" t="s">
        <v>113</v>
      </c>
      <c r="BF559" t="s">
        <v>113</v>
      </c>
      <c r="BG559" t="s">
        <v>8</v>
      </c>
      <c r="BH559">
        <v>9</v>
      </c>
      <c r="BI559" t="s">
        <v>503</v>
      </c>
      <c r="CG559" t="s">
        <v>14</v>
      </c>
      <c r="CH559" t="s">
        <v>130</v>
      </c>
      <c r="CI559">
        <v>58511</v>
      </c>
      <c r="CJ559" t="s">
        <v>502</v>
      </c>
    </row>
    <row r="560" spans="1:88" x14ac:dyDescent="0.25">
      <c r="A560" t="s">
        <v>21</v>
      </c>
      <c r="B560" t="s">
        <v>214</v>
      </c>
      <c r="C560" t="s">
        <v>333</v>
      </c>
      <c r="D560">
        <v>99144</v>
      </c>
      <c r="E560">
        <v>4</v>
      </c>
      <c r="F560" s="24" t="str">
        <f t="shared" si="52"/>
        <v>2024-3</v>
      </c>
      <c r="O560" t="s">
        <v>5</v>
      </c>
      <c r="P560" t="s">
        <v>301</v>
      </c>
      <c r="Q560">
        <v>7</v>
      </c>
      <c r="AA560">
        <v>99144</v>
      </c>
      <c r="AB560" t="s">
        <v>214</v>
      </c>
      <c r="AD560">
        <f t="shared" si="50"/>
        <v>0</v>
      </c>
      <c r="AE560">
        <f t="shared" si="51"/>
        <v>0</v>
      </c>
      <c r="AG560" t="s">
        <v>5</v>
      </c>
      <c r="AH560" t="s">
        <v>301</v>
      </c>
      <c r="BF560" t="s">
        <v>301</v>
      </c>
      <c r="BG560" t="s">
        <v>5</v>
      </c>
      <c r="BH560">
        <v>7</v>
      </c>
      <c r="BI560" t="s">
        <v>503</v>
      </c>
      <c r="CG560" t="s">
        <v>21</v>
      </c>
      <c r="CH560" t="s">
        <v>214</v>
      </c>
      <c r="CI560">
        <v>99144</v>
      </c>
      <c r="CJ560" t="s">
        <v>502</v>
      </c>
    </row>
    <row r="561" spans="1:88" x14ac:dyDescent="0.25">
      <c r="A561" t="s">
        <v>37</v>
      </c>
      <c r="B561" t="s">
        <v>206</v>
      </c>
      <c r="C561" t="s">
        <v>334</v>
      </c>
      <c r="D561">
        <v>49115</v>
      </c>
      <c r="E561">
        <v>4</v>
      </c>
      <c r="F561" s="24" t="str">
        <f t="shared" si="52"/>
        <v>2024-3</v>
      </c>
      <c r="O561" t="s">
        <v>10</v>
      </c>
      <c r="P561" t="s">
        <v>111</v>
      </c>
      <c r="Q561">
        <v>7</v>
      </c>
      <c r="AA561">
        <v>49115</v>
      </c>
      <c r="AB561" t="s">
        <v>206</v>
      </c>
      <c r="AD561">
        <f t="shared" si="50"/>
        <v>0</v>
      </c>
      <c r="AE561">
        <f t="shared" si="51"/>
        <v>0</v>
      </c>
      <c r="AG561" t="s">
        <v>10</v>
      </c>
      <c r="AH561" t="s">
        <v>111</v>
      </c>
      <c r="BF561" t="s">
        <v>111</v>
      </c>
      <c r="BG561" t="s">
        <v>10</v>
      </c>
      <c r="BH561">
        <v>7</v>
      </c>
      <c r="BI561" t="s">
        <v>503</v>
      </c>
      <c r="CG561" t="s">
        <v>37</v>
      </c>
      <c r="CH561" t="s">
        <v>206</v>
      </c>
      <c r="CI561">
        <v>49115</v>
      </c>
      <c r="CJ561" t="s">
        <v>502</v>
      </c>
    </row>
    <row r="562" spans="1:88" x14ac:dyDescent="0.25">
      <c r="A562" t="s">
        <v>55</v>
      </c>
      <c r="B562" t="s">
        <v>33</v>
      </c>
      <c r="C562" t="s">
        <v>335</v>
      </c>
      <c r="D562">
        <v>95430</v>
      </c>
      <c r="E562">
        <v>5</v>
      </c>
      <c r="F562" s="24" t="str">
        <f t="shared" si="52"/>
        <v>2024-3</v>
      </c>
      <c r="O562" t="s">
        <v>21</v>
      </c>
      <c r="P562" t="s">
        <v>211</v>
      </c>
      <c r="Q562">
        <v>8</v>
      </c>
      <c r="AA562">
        <v>95430</v>
      </c>
      <c r="AB562" t="s">
        <v>33</v>
      </c>
      <c r="AD562">
        <f t="shared" si="50"/>
        <v>0</v>
      </c>
      <c r="AE562">
        <f t="shared" si="51"/>
        <v>0</v>
      </c>
      <c r="AG562" t="s">
        <v>21</v>
      </c>
      <c r="AH562" t="s">
        <v>211</v>
      </c>
      <c r="BF562" t="s">
        <v>211</v>
      </c>
      <c r="BG562" t="s">
        <v>21</v>
      </c>
      <c r="BH562">
        <v>8</v>
      </c>
      <c r="BI562" t="s">
        <v>503</v>
      </c>
      <c r="CG562" t="s">
        <v>55</v>
      </c>
      <c r="CH562" t="s">
        <v>33</v>
      </c>
      <c r="CI562">
        <v>95430</v>
      </c>
      <c r="CJ562" t="s">
        <v>502</v>
      </c>
    </row>
    <row r="563" spans="1:88" x14ac:dyDescent="0.25">
      <c r="A563" t="s">
        <v>29</v>
      </c>
      <c r="B563" t="s">
        <v>71</v>
      </c>
      <c r="C563" t="s">
        <v>335</v>
      </c>
      <c r="D563">
        <v>27594</v>
      </c>
      <c r="E563">
        <v>7</v>
      </c>
      <c r="F563" s="24" t="str">
        <f t="shared" si="52"/>
        <v>2024-3</v>
      </c>
      <c r="O563" t="s">
        <v>14</v>
      </c>
      <c r="P563" t="s">
        <v>179</v>
      </c>
      <c r="Q563">
        <v>9</v>
      </c>
      <c r="AA563">
        <v>27594</v>
      </c>
      <c r="AB563" t="s">
        <v>71</v>
      </c>
      <c r="AD563">
        <f t="shared" si="50"/>
        <v>0</v>
      </c>
      <c r="AE563">
        <f t="shared" si="51"/>
        <v>0</v>
      </c>
      <c r="AG563" t="s">
        <v>14</v>
      </c>
      <c r="AH563" t="s">
        <v>179</v>
      </c>
      <c r="BF563" t="s">
        <v>179</v>
      </c>
      <c r="BG563" t="s">
        <v>14</v>
      </c>
      <c r="BH563">
        <v>9</v>
      </c>
      <c r="BI563" t="s">
        <v>503</v>
      </c>
      <c r="CG563" t="s">
        <v>29</v>
      </c>
      <c r="CH563" t="s">
        <v>71</v>
      </c>
      <c r="CI563">
        <v>27594</v>
      </c>
      <c r="CJ563" t="s">
        <v>502</v>
      </c>
    </row>
    <row r="564" spans="1:88" x14ac:dyDescent="0.25">
      <c r="A564" t="s">
        <v>14</v>
      </c>
      <c r="B564" t="s">
        <v>56</v>
      </c>
      <c r="C564" t="s">
        <v>335</v>
      </c>
      <c r="D564">
        <v>86997</v>
      </c>
      <c r="E564">
        <v>6</v>
      </c>
      <c r="F564" s="24" t="str">
        <f t="shared" si="52"/>
        <v>2024-3</v>
      </c>
      <c r="O564" t="s">
        <v>55</v>
      </c>
      <c r="P564" t="s">
        <v>62</v>
      </c>
      <c r="Q564">
        <v>3</v>
      </c>
      <c r="AA564">
        <v>86997</v>
      </c>
      <c r="AB564" t="s">
        <v>56</v>
      </c>
      <c r="AD564">
        <f t="shared" si="50"/>
        <v>0</v>
      </c>
      <c r="AE564">
        <f t="shared" si="51"/>
        <v>0</v>
      </c>
      <c r="AG564" t="s">
        <v>55</v>
      </c>
      <c r="AH564" t="s">
        <v>62</v>
      </c>
      <c r="BF564" t="s">
        <v>62</v>
      </c>
      <c r="BG564" t="s">
        <v>55</v>
      </c>
      <c r="BH564">
        <v>3</v>
      </c>
      <c r="BI564" t="s">
        <v>503</v>
      </c>
      <c r="CG564" t="s">
        <v>14</v>
      </c>
      <c r="CH564" t="s">
        <v>56</v>
      </c>
      <c r="CI564">
        <v>86997</v>
      </c>
      <c r="CJ564" t="s">
        <v>502</v>
      </c>
    </row>
    <row r="565" spans="1:88" x14ac:dyDescent="0.25">
      <c r="A565" t="s">
        <v>29</v>
      </c>
      <c r="B565" t="s">
        <v>132</v>
      </c>
      <c r="C565" t="s">
        <v>335</v>
      </c>
      <c r="D565">
        <v>43883</v>
      </c>
      <c r="E565">
        <v>9</v>
      </c>
      <c r="F565" s="24" t="str">
        <f t="shared" si="52"/>
        <v>2024-3</v>
      </c>
      <c r="O565" t="s">
        <v>53</v>
      </c>
      <c r="P565" t="s">
        <v>300</v>
      </c>
      <c r="Q565">
        <v>8</v>
      </c>
      <c r="AA565">
        <v>43883</v>
      </c>
      <c r="AB565" t="s">
        <v>132</v>
      </c>
      <c r="AD565">
        <f t="shared" si="50"/>
        <v>0</v>
      </c>
      <c r="AE565">
        <f t="shared" si="51"/>
        <v>0</v>
      </c>
      <c r="AG565" t="s">
        <v>53</v>
      </c>
      <c r="AH565" t="s">
        <v>300</v>
      </c>
      <c r="BF565" t="s">
        <v>300</v>
      </c>
      <c r="BG565" t="s">
        <v>53</v>
      </c>
      <c r="BH565">
        <v>8</v>
      </c>
      <c r="BI565" t="s">
        <v>503</v>
      </c>
      <c r="CG565" t="s">
        <v>29</v>
      </c>
      <c r="CH565" t="s">
        <v>132</v>
      </c>
      <c r="CI565">
        <v>43883</v>
      </c>
      <c r="CJ565" t="s">
        <v>502</v>
      </c>
    </row>
    <row r="566" spans="1:88" x14ac:dyDescent="0.25">
      <c r="A566" t="s">
        <v>35</v>
      </c>
      <c r="B566" t="s">
        <v>211</v>
      </c>
      <c r="C566" t="s">
        <v>336</v>
      </c>
      <c r="D566">
        <v>85855</v>
      </c>
      <c r="E566">
        <v>7</v>
      </c>
      <c r="F566" s="24" t="str">
        <f t="shared" si="52"/>
        <v>2024-3</v>
      </c>
      <c r="O566" t="s">
        <v>53</v>
      </c>
      <c r="P566" t="s">
        <v>118</v>
      </c>
      <c r="Q566">
        <v>6</v>
      </c>
      <c r="AA566">
        <v>85855</v>
      </c>
      <c r="AB566" t="s">
        <v>211</v>
      </c>
      <c r="AD566">
        <f t="shared" si="50"/>
        <v>0</v>
      </c>
      <c r="AE566">
        <f t="shared" si="51"/>
        <v>0</v>
      </c>
      <c r="AG566" t="s">
        <v>53</v>
      </c>
      <c r="AH566" t="s">
        <v>118</v>
      </c>
      <c r="BF566" t="s">
        <v>118</v>
      </c>
      <c r="BG566" t="s">
        <v>53</v>
      </c>
      <c r="BH566">
        <v>6</v>
      </c>
      <c r="BI566" t="s">
        <v>503</v>
      </c>
      <c r="CG566" t="s">
        <v>35</v>
      </c>
      <c r="CH566" t="s">
        <v>211</v>
      </c>
      <c r="CI566">
        <v>85855</v>
      </c>
      <c r="CJ566" t="s">
        <v>502</v>
      </c>
    </row>
    <row r="567" spans="1:88" x14ac:dyDescent="0.25">
      <c r="A567" t="s">
        <v>14</v>
      </c>
      <c r="B567" t="s">
        <v>127</v>
      </c>
      <c r="C567" t="s">
        <v>336</v>
      </c>
      <c r="D567">
        <v>52498</v>
      </c>
      <c r="E567">
        <v>6</v>
      </c>
      <c r="F567" s="24" t="str">
        <f t="shared" si="52"/>
        <v>2024-3</v>
      </c>
      <c r="O567" t="s">
        <v>37</v>
      </c>
      <c r="P567" t="s">
        <v>229</v>
      </c>
      <c r="Q567">
        <v>7</v>
      </c>
      <c r="AA567">
        <v>52498</v>
      </c>
      <c r="AB567" t="s">
        <v>127</v>
      </c>
      <c r="AD567">
        <f t="shared" si="50"/>
        <v>0</v>
      </c>
      <c r="AE567">
        <f t="shared" si="51"/>
        <v>0</v>
      </c>
      <c r="AG567" t="s">
        <v>37</v>
      </c>
      <c r="AH567" t="s">
        <v>229</v>
      </c>
      <c r="BF567" t="s">
        <v>229</v>
      </c>
      <c r="BG567" t="s">
        <v>37</v>
      </c>
      <c r="BH567">
        <v>7</v>
      </c>
      <c r="BI567" t="s">
        <v>503</v>
      </c>
      <c r="CG567" t="s">
        <v>14</v>
      </c>
      <c r="CH567" t="s">
        <v>127</v>
      </c>
      <c r="CI567">
        <v>52498</v>
      </c>
      <c r="CJ567" t="s">
        <v>502</v>
      </c>
    </row>
    <row r="568" spans="1:88" x14ac:dyDescent="0.25">
      <c r="A568" t="s">
        <v>55</v>
      </c>
      <c r="B568" t="s">
        <v>69</v>
      </c>
      <c r="C568" t="s">
        <v>336</v>
      </c>
      <c r="D568">
        <v>31582</v>
      </c>
      <c r="E568">
        <v>2</v>
      </c>
      <c r="F568" s="24" t="str">
        <f t="shared" si="52"/>
        <v>2024-3</v>
      </c>
      <c r="O568" t="s">
        <v>55</v>
      </c>
      <c r="P568" t="s">
        <v>152</v>
      </c>
      <c r="Q568">
        <v>5</v>
      </c>
      <c r="AA568">
        <v>31582</v>
      </c>
      <c r="AB568" t="s">
        <v>69</v>
      </c>
      <c r="AD568">
        <f t="shared" si="50"/>
        <v>0</v>
      </c>
      <c r="AE568">
        <f t="shared" si="51"/>
        <v>0</v>
      </c>
      <c r="AG568" t="s">
        <v>55</v>
      </c>
      <c r="AH568" t="s">
        <v>152</v>
      </c>
      <c r="BF568" t="s">
        <v>152</v>
      </c>
      <c r="BG568" t="s">
        <v>55</v>
      </c>
      <c r="BH568">
        <v>5</v>
      </c>
      <c r="BI568" t="s">
        <v>503</v>
      </c>
      <c r="CG568" t="s">
        <v>55</v>
      </c>
      <c r="CH568" t="s">
        <v>69</v>
      </c>
      <c r="CI568">
        <v>31582</v>
      </c>
      <c r="CJ568" t="s">
        <v>502</v>
      </c>
    </row>
    <row r="569" spans="1:88" x14ac:dyDescent="0.25">
      <c r="A569" t="s">
        <v>10</v>
      </c>
      <c r="B569" t="s">
        <v>337</v>
      </c>
      <c r="C569" t="s">
        <v>336</v>
      </c>
      <c r="D569">
        <v>44258</v>
      </c>
      <c r="E569">
        <v>4</v>
      </c>
      <c r="F569" s="24" t="str">
        <f t="shared" si="52"/>
        <v>2024-3</v>
      </c>
      <c r="O569" t="s">
        <v>8</v>
      </c>
      <c r="P569" t="s">
        <v>26</v>
      </c>
      <c r="Q569">
        <v>7</v>
      </c>
      <c r="AA569">
        <v>44258</v>
      </c>
      <c r="AB569" t="s">
        <v>337</v>
      </c>
      <c r="AD569">
        <f t="shared" si="50"/>
        <v>0</v>
      </c>
      <c r="AE569">
        <f t="shared" si="51"/>
        <v>0</v>
      </c>
      <c r="AG569" t="s">
        <v>8</v>
      </c>
      <c r="AH569" t="s">
        <v>26</v>
      </c>
      <c r="BF569" t="s">
        <v>26</v>
      </c>
      <c r="BG569" t="s">
        <v>8</v>
      </c>
      <c r="BH569">
        <v>7</v>
      </c>
      <c r="BI569" t="s">
        <v>503</v>
      </c>
      <c r="CG569" t="s">
        <v>10</v>
      </c>
      <c r="CH569" t="s">
        <v>337</v>
      </c>
      <c r="CI569">
        <v>44258</v>
      </c>
      <c r="CJ569" t="s">
        <v>502</v>
      </c>
    </row>
    <row r="570" spans="1:88" x14ac:dyDescent="0.25">
      <c r="A570" t="s">
        <v>53</v>
      </c>
      <c r="B570" t="s">
        <v>108</v>
      </c>
      <c r="C570" t="s">
        <v>336</v>
      </c>
      <c r="D570">
        <v>23043</v>
      </c>
      <c r="E570">
        <v>8</v>
      </c>
      <c r="F570" s="24" t="str">
        <f t="shared" si="52"/>
        <v>2024-3</v>
      </c>
      <c r="O570" t="s">
        <v>21</v>
      </c>
      <c r="P570" t="s">
        <v>234</v>
      </c>
      <c r="Q570">
        <v>3</v>
      </c>
      <c r="AA570">
        <v>23043</v>
      </c>
      <c r="AB570" t="s">
        <v>108</v>
      </c>
      <c r="AD570">
        <f t="shared" si="50"/>
        <v>0</v>
      </c>
      <c r="AE570">
        <f t="shared" si="51"/>
        <v>0</v>
      </c>
      <c r="AG570" t="s">
        <v>21</v>
      </c>
      <c r="AH570" t="s">
        <v>234</v>
      </c>
      <c r="BF570" t="s">
        <v>234</v>
      </c>
      <c r="BG570" t="s">
        <v>21</v>
      </c>
      <c r="BH570">
        <v>3</v>
      </c>
      <c r="BI570" t="s">
        <v>503</v>
      </c>
      <c r="CG570" t="s">
        <v>53</v>
      </c>
      <c r="CH570" t="s">
        <v>108</v>
      </c>
      <c r="CI570">
        <v>23043</v>
      </c>
      <c r="CJ570" t="s">
        <v>502</v>
      </c>
    </row>
    <row r="571" spans="1:88" x14ac:dyDescent="0.25">
      <c r="A571" t="s">
        <v>10</v>
      </c>
      <c r="B571" t="s">
        <v>295</v>
      </c>
      <c r="C571" t="s">
        <v>336</v>
      </c>
      <c r="D571">
        <v>78379</v>
      </c>
      <c r="E571">
        <v>8</v>
      </c>
      <c r="F571" s="24" t="str">
        <f t="shared" si="52"/>
        <v>2024-3</v>
      </c>
      <c r="O571" t="s">
        <v>21</v>
      </c>
      <c r="P571" t="s">
        <v>137</v>
      </c>
      <c r="Q571">
        <v>8</v>
      </c>
      <c r="AA571">
        <v>78379</v>
      </c>
      <c r="AB571" t="s">
        <v>295</v>
      </c>
      <c r="AD571">
        <f t="shared" si="50"/>
        <v>0</v>
      </c>
      <c r="AE571">
        <f t="shared" si="51"/>
        <v>0</v>
      </c>
      <c r="AG571" t="s">
        <v>21</v>
      </c>
      <c r="AH571" t="s">
        <v>137</v>
      </c>
      <c r="BF571" t="s">
        <v>137</v>
      </c>
      <c r="BG571" t="s">
        <v>21</v>
      </c>
      <c r="BH571">
        <v>8</v>
      </c>
      <c r="BI571" t="s">
        <v>503</v>
      </c>
      <c r="CG571" t="s">
        <v>10</v>
      </c>
      <c r="CH571" t="s">
        <v>295</v>
      </c>
      <c r="CI571">
        <v>78379</v>
      </c>
      <c r="CJ571" t="s">
        <v>502</v>
      </c>
    </row>
    <row r="572" spans="1:88" x14ac:dyDescent="0.25">
      <c r="A572" t="s">
        <v>37</v>
      </c>
      <c r="B572" t="s">
        <v>109</v>
      </c>
      <c r="C572" t="s">
        <v>336</v>
      </c>
      <c r="D572">
        <v>75502</v>
      </c>
      <c r="E572">
        <v>6</v>
      </c>
      <c r="F572" s="24" t="str">
        <f t="shared" si="52"/>
        <v>2024-3</v>
      </c>
      <c r="O572" t="s">
        <v>75</v>
      </c>
      <c r="P572" t="s">
        <v>295</v>
      </c>
      <c r="Q572">
        <v>6</v>
      </c>
      <c r="AA572">
        <v>75502</v>
      </c>
      <c r="AB572" t="s">
        <v>109</v>
      </c>
      <c r="AD572">
        <f t="shared" si="50"/>
        <v>0</v>
      </c>
      <c r="AE572">
        <f t="shared" si="51"/>
        <v>0</v>
      </c>
      <c r="AG572" t="s">
        <v>75</v>
      </c>
      <c r="AH572" t="s">
        <v>295</v>
      </c>
      <c r="BF572" t="s">
        <v>295</v>
      </c>
      <c r="BG572" t="s">
        <v>75</v>
      </c>
      <c r="BH572">
        <v>6</v>
      </c>
      <c r="BI572" t="s">
        <v>503</v>
      </c>
      <c r="CG572" t="s">
        <v>37</v>
      </c>
      <c r="CH572" t="s">
        <v>109</v>
      </c>
      <c r="CI572">
        <v>75502</v>
      </c>
      <c r="CJ572" t="s">
        <v>502</v>
      </c>
    </row>
    <row r="573" spans="1:88" x14ac:dyDescent="0.25">
      <c r="A573" t="s">
        <v>14</v>
      </c>
      <c r="B573" t="s">
        <v>6</v>
      </c>
      <c r="C573" t="s">
        <v>336</v>
      </c>
      <c r="D573">
        <v>68307</v>
      </c>
      <c r="E573">
        <v>4</v>
      </c>
      <c r="F573" s="24" t="str">
        <f t="shared" si="52"/>
        <v>2024-3</v>
      </c>
      <c r="O573" t="s">
        <v>5</v>
      </c>
      <c r="P573" t="s">
        <v>192</v>
      </c>
      <c r="Q573">
        <v>3</v>
      </c>
      <c r="AA573">
        <v>68307</v>
      </c>
      <c r="AB573" t="s">
        <v>6</v>
      </c>
      <c r="AD573">
        <f t="shared" si="50"/>
        <v>0</v>
      </c>
      <c r="AE573">
        <f t="shared" si="51"/>
        <v>0</v>
      </c>
      <c r="AG573" t="s">
        <v>5</v>
      </c>
      <c r="AH573" t="s">
        <v>192</v>
      </c>
      <c r="BF573" t="s">
        <v>192</v>
      </c>
      <c r="BG573" t="s">
        <v>5</v>
      </c>
      <c r="BH573">
        <v>3</v>
      </c>
      <c r="BI573" t="s">
        <v>503</v>
      </c>
      <c r="CG573" t="s">
        <v>14</v>
      </c>
      <c r="CH573" t="s">
        <v>6</v>
      </c>
      <c r="CI573">
        <v>68307</v>
      </c>
      <c r="CJ573" t="s">
        <v>502</v>
      </c>
    </row>
    <row r="574" spans="1:88" x14ac:dyDescent="0.25">
      <c r="A574" t="s">
        <v>55</v>
      </c>
      <c r="B574" t="s">
        <v>163</v>
      </c>
      <c r="C574" t="s">
        <v>336</v>
      </c>
      <c r="D574">
        <v>47628</v>
      </c>
      <c r="E574">
        <v>1</v>
      </c>
      <c r="F574" s="24" t="str">
        <f t="shared" si="52"/>
        <v>2024-3</v>
      </c>
      <c r="O574" t="s">
        <v>29</v>
      </c>
      <c r="P574" t="s">
        <v>81</v>
      </c>
      <c r="Q574">
        <v>7</v>
      </c>
      <c r="AA574">
        <v>47628</v>
      </c>
      <c r="AB574" t="s">
        <v>163</v>
      </c>
      <c r="AD574">
        <f t="shared" si="50"/>
        <v>0</v>
      </c>
      <c r="AE574">
        <f t="shared" si="51"/>
        <v>0</v>
      </c>
      <c r="AG574" t="s">
        <v>29</v>
      </c>
      <c r="AH574" t="s">
        <v>81</v>
      </c>
      <c r="BF574" t="s">
        <v>81</v>
      </c>
      <c r="BG574" t="s">
        <v>29</v>
      </c>
      <c r="BH574">
        <v>7</v>
      </c>
      <c r="BI574" t="s">
        <v>503</v>
      </c>
      <c r="CG574" t="s">
        <v>55</v>
      </c>
      <c r="CH574" t="s">
        <v>163</v>
      </c>
      <c r="CI574">
        <v>47628</v>
      </c>
      <c r="CJ574" t="s">
        <v>502</v>
      </c>
    </row>
    <row r="575" spans="1:88" x14ac:dyDescent="0.25">
      <c r="A575" t="s">
        <v>10</v>
      </c>
      <c r="B575" t="s">
        <v>251</v>
      </c>
      <c r="C575" t="s">
        <v>336</v>
      </c>
      <c r="D575">
        <v>44128</v>
      </c>
      <c r="E575">
        <v>7</v>
      </c>
      <c r="F575" s="24" t="str">
        <f t="shared" si="52"/>
        <v>2024-3</v>
      </c>
      <c r="O575" t="s">
        <v>14</v>
      </c>
      <c r="P575" t="s">
        <v>209</v>
      </c>
      <c r="Q575">
        <v>8</v>
      </c>
      <c r="AA575">
        <v>44128</v>
      </c>
      <c r="AB575" t="s">
        <v>251</v>
      </c>
      <c r="AD575">
        <f t="shared" si="50"/>
        <v>0</v>
      </c>
      <c r="AE575">
        <f t="shared" si="51"/>
        <v>0</v>
      </c>
      <c r="AG575" t="s">
        <v>14</v>
      </c>
      <c r="AH575" t="s">
        <v>209</v>
      </c>
      <c r="BF575" t="s">
        <v>209</v>
      </c>
      <c r="BG575" t="s">
        <v>14</v>
      </c>
      <c r="BH575">
        <v>8</v>
      </c>
      <c r="BI575" t="s">
        <v>503</v>
      </c>
      <c r="CG575" t="s">
        <v>10</v>
      </c>
      <c r="CH575" t="s">
        <v>251</v>
      </c>
      <c r="CI575">
        <v>44128</v>
      </c>
      <c r="CJ575" t="s">
        <v>502</v>
      </c>
    </row>
    <row r="576" spans="1:88" x14ac:dyDescent="0.25">
      <c r="A576" t="s">
        <v>53</v>
      </c>
      <c r="B576" t="s">
        <v>172</v>
      </c>
      <c r="C576" t="s">
        <v>338</v>
      </c>
      <c r="D576">
        <v>75254</v>
      </c>
      <c r="E576">
        <v>8</v>
      </c>
      <c r="F576" s="24" t="str">
        <f t="shared" si="52"/>
        <v>2024-3</v>
      </c>
      <c r="O576" t="s">
        <v>14</v>
      </c>
      <c r="P576" t="s">
        <v>295</v>
      </c>
      <c r="Q576">
        <v>5</v>
      </c>
      <c r="AA576">
        <v>75254</v>
      </c>
      <c r="AB576" t="s">
        <v>172</v>
      </c>
      <c r="AD576">
        <f t="shared" si="50"/>
        <v>0</v>
      </c>
      <c r="AE576">
        <f t="shared" si="51"/>
        <v>0</v>
      </c>
      <c r="AG576" t="s">
        <v>14</v>
      </c>
      <c r="AH576" t="s">
        <v>295</v>
      </c>
      <c r="BF576" t="s">
        <v>295</v>
      </c>
      <c r="BG576" t="s">
        <v>14</v>
      </c>
      <c r="BH576">
        <v>5</v>
      </c>
      <c r="BI576" t="s">
        <v>503</v>
      </c>
      <c r="CG576" t="s">
        <v>53</v>
      </c>
      <c r="CH576" t="s">
        <v>172</v>
      </c>
      <c r="CI576">
        <v>75254</v>
      </c>
      <c r="CJ576" t="s">
        <v>502</v>
      </c>
    </row>
    <row r="577" spans="1:88" x14ac:dyDescent="0.25">
      <c r="A577" t="s">
        <v>10</v>
      </c>
      <c r="B577" t="s">
        <v>189</v>
      </c>
      <c r="C577" t="s">
        <v>338</v>
      </c>
      <c r="D577">
        <v>70702</v>
      </c>
      <c r="E577">
        <v>6</v>
      </c>
      <c r="F577" s="24" t="str">
        <f t="shared" si="52"/>
        <v>2024-3</v>
      </c>
      <c r="O577" t="s">
        <v>14</v>
      </c>
      <c r="P577" t="s">
        <v>210</v>
      </c>
      <c r="Q577">
        <v>0</v>
      </c>
      <c r="AA577">
        <v>70702</v>
      </c>
      <c r="AB577" t="s">
        <v>189</v>
      </c>
      <c r="AD577">
        <f t="shared" si="50"/>
        <v>0</v>
      </c>
      <c r="AE577">
        <f t="shared" si="51"/>
        <v>0</v>
      </c>
      <c r="AG577" t="s">
        <v>14</v>
      </c>
      <c r="AH577" t="s">
        <v>210</v>
      </c>
      <c r="BF577" t="s">
        <v>210</v>
      </c>
      <c r="BG577" t="s">
        <v>14</v>
      </c>
      <c r="BH577">
        <v>0</v>
      </c>
      <c r="BI577" t="s">
        <v>503</v>
      </c>
      <c r="CG577" t="s">
        <v>10</v>
      </c>
      <c r="CH577" t="s">
        <v>189</v>
      </c>
      <c r="CI577">
        <v>70702</v>
      </c>
      <c r="CJ577" t="s">
        <v>502</v>
      </c>
    </row>
    <row r="578" spans="1:88" x14ac:dyDescent="0.25">
      <c r="A578" t="s">
        <v>14</v>
      </c>
      <c r="B578" t="s">
        <v>90</v>
      </c>
      <c r="C578" t="s">
        <v>338</v>
      </c>
      <c r="D578">
        <v>50213</v>
      </c>
      <c r="E578">
        <v>6</v>
      </c>
      <c r="F578" s="24" t="str">
        <f t="shared" si="52"/>
        <v>2024-3</v>
      </c>
      <c r="O578" t="s">
        <v>16</v>
      </c>
      <c r="P578" t="s">
        <v>149</v>
      </c>
      <c r="Q578">
        <v>3</v>
      </c>
      <c r="AA578">
        <v>50213</v>
      </c>
      <c r="AB578" t="s">
        <v>90</v>
      </c>
      <c r="AD578">
        <f t="shared" ref="AD578:AD641" si="53">COUNTIF(AB:AB,AC578)</f>
        <v>0</v>
      </c>
      <c r="AE578">
        <f t="shared" ref="AE578:AE641" si="54">SUMIF(AB:AB,AC578,AA:AA)</f>
        <v>0</v>
      </c>
      <c r="AG578" t="s">
        <v>16</v>
      </c>
      <c r="AH578" t="s">
        <v>149</v>
      </c>
      <c r="BF578" t="s">
        <v>149</v>
      </c>
      <c r="BG578" t="s">
        <v>16</v>
      </c>
      <c r="BH578">
        <v>3</v>
      </c>
      <c r="BI578" t="s">
        <v>503</v>
      </c>
      <c r="CG578" t="s">
        <v>14</v>
      </c>
      <c r="CH578" t="s">
        <v>90</v>
      </c>
      <c r="CI578">
        <v>50213</v>
      </c>
      <c r="CJ578" t="s">
        <v>502</v>
      </c>
    </row>
    <row r="579" spans="1:88" x14ac:dyDescent="0.25">
      <c r="A579" t="s">
        <v>10</v>
      </c>
      <c r="B579" t="s">
        <v>258</v>
      </c>
      <c r="C579" t="s">
        <v>339</v>
      </c>
      <c r="D579">
        <v>24535</v>
      </c>
      <c r="E579">
        <v>8</v>
      </c>
      <c r="F579" s="24" t="str">
        <f t="shared" ref="F579:F642" si="55">YEAR(C579)&amp;"-"&amp;MONTH(C579)</f>
        <v>2024-3</v>
      </c>
      <c r="O579" t="s">
        <v>8</v>
      </c>
      <c r="P579" t="s">
        <v>370</v>
      </c>
      <c r="Q579">
        <v>6</v>
      </c>
      <c r="AA579">
        <v>24535</v>
      </c>
      <c r="AB579" t="s">
        <v>258</v>
      </c>
      <c r="AD579">
        <f t="shared" si="53"/>
        <v>0</v>
      </c>
      <c r="AE579">
        <f t="shared" si="54"/>
        <v>0</v>
      </c>
      <c r="AG579" t="s">
        <v>8</v>
      </c>
      <c r="AH579" t="s">
        <v>370</v>
      </c>
      <c r="BF579" t="s">
        <v>370</v>
      </c>
      <c r="BG579" t="s">
        <v>8</v>
      </c>
      <c r="BH579">
        <v>6</v>
      </c>
      <c r="BI579" t="s">
        <v>503</v>
      </c>
      <c r="CG579" t="s">
        <v>10</v>
      </c>
      <c r="CH579" t="s">
        <v>258</v>
      </c>
      <c r="CI579">
        <v>24535</v>
      </c>
      <c r="CJ579" t="s">
        <v>502</v>
      </c>
    </row>
    <row r="580" spans="1:88" x14ac:dyDescent="0.25">
      <c r="A580" t="s">
        <v>37</v>
      </c>
      <c r="B580" t="s">
        <v>111</v>
      </c>
      <c r="C580" t="s">
        <v>339</v>
      </c>
      <c r="D580">
        <v>66413</v>
      </c>
      <c r="E580">
        <v>5</v>
      </c>
      <c r="F580" s="24" t="str">
        <f t="shared" si="55"/>
        <v>2024-3</v>
      </c>
      <c r="O580" t="s">
        <v>75</v>
      </c>
      <c r="P580" t="s">
        <v>353</v>
      </c>
      <c r="Q580">
        <v>6</v>
      </c>
      <c r="AA580">
        <v>66413</v>
      </c>
      <c r="AB580" t="s">
        <v>111</v>
      </c>
      <c r="AD580">
        <f t="shared" si="53"/>
        <v>0</v>
      </c>
      <c r="AE580">
        <f t="shared" si="54"/>
        <v>0</v>
      </c>
      <c r="AG580" t="s">
        <v>75</v>
      </c>
      <c r="AH580" t="s">
        <v>353</v>
      </c>
      <c r="BF580" t="s">
        <v>353</v>
      </c>
      <c r="BG580" t="s">
        <v>75</v>
      </c>
      <c r="BH580">
        <v>6</v>
      </c>
      <c r="BI580" t="s">
        <v>503</v>
      </c>
      <c r="CG580" t="s">
        <v>37</v>
      </c>
      <c r="CH580" t="s">
        <v>111</v>
      </c>
      <c r="CI580">
        <v>66413</v>
      </c>
      <c r="CJ580" t="s">
        <v>502</v>
      </c>
    </row>
    <row r="581" spans="1:88" x14ac:dyDescent="0.25">
      <c r="A581" t="s">
        <v>10</v>
      </c>
      <c r="B581" t="s">
        <v>176</v>
      </c>
      <c r="C581" t="s">
        <v>340</v>
      </c>
      <c r="D581">
        <v>48964</v>
      </c>
      <c r="E581">
        <v>6</v>
      </c>
      <c r="F581" s="24" t="str">
        <f t="shared" si="55"/>
        <v>2024-3</v>
      </c>
      <c r="O581" t="s">
        <v>37</v>
      </c>
      <c r="P581" t="s">
        <v>17</v>
      </c>
      <c r="Q581">
        <v>6</v>
      </c>
      <c r="AA581">
        <v>48964</v>
      </c>
      <c r="AB581" t="s">
        <v>176</v>
      </c>
      <c r="AD581">
        <f t="shared" si="53"/>
        <v>0</v>
      </c>
      <c r="AE581">
        <f t="shared" si="54"/>
        <v>0</v>
      </c>
      <c r="AG581" t="s">
        <v>37</v>
      </c>
      <c r="AH581" t="s">
        <v>17</v>
      </c>
      <c r="BF581" t="s">
        <v>17</v>
      </c>
      <c r="BG581" t="s">
        <v>37</v>
      </c>
      <c r="BH581">
        <v>6</v>
      </c>
      <c r="BI581" t="s">
        <v>503</v>
      </c>
      <c r="CG581" t="s">
        <v>10</v>
      </c>
      <c r="CH581" t="s">
        <v>176</v>
      </c>
      <c r="CI581">
        <v>48964</v>
      </c>
      <c r="CJ581" t="s">
        <v>502</v>
      </c>
    </row>
    <row r="582" spans="1:88" x14ac:dyDescent="0.25">
      <c r="A582" t="s">
        <v>35</v>
      </c>
      <c r="B582" t="s">
        <v>176</v>
      </c>
      <c r="C582" t="s">
        <v>340</v>
      </c>
      <c r="D582">
        <v>85334</v>
      </c>
      <c r="E582">
        <v>7</v>
      </c>
      <c r="F582" s="24" t="str">
        <f t="shared" si="55"/>
        <v>2024-3</v>
      </c>
      <c r="O582" t="s">
        <v>8</v>
      </c>
      <c r="P582" t="s">
        <v>171</v>
      </c>
      <c r="Q582">
        <v>4</v>
      </c>
      <c r="AA582">
        <v>85334</v>
      </c>
      <c r="AB582" t="s">
        <v>176</v>
      </c>
      <c r="AD582">
        <f t="shared" si="53"/>
        <v>0</v>
      </c>
      <c r="AE582">
        <f t="shared" si="54"/>
        <v>0</v>
      </c>
      <c r="AG582" t="s">
        <v>8</v>
      </c>
      <c r="AH582" t="s">
        <v>171</v>
      </c>
      <c r="BF582" t="s">
        <v>171</v>
      </c>
      <c r="BG582" t="s">
        <v>8</v>
      </c>
      <c r="BH582">
        <v>4</v>
      </c>
      <c r="BI582" t="s">
        <v>503</v>
      </c>
      <c r="CG582" t="s">
        <v>35</v>
      </c>
      <c r="CH582" t="s">
        <v>176</v>
      </c>
      <c r="CI582">
        <v>85334</v>
      </c>
      <c r="CJ582" t="s">
        <v>502</v>
      </c>
    </row>
    <row r="583" spans="1:88" x14ac:dyDescent="0.25">
      <c r="A583" t="s">
        <v>53</v>
      </c>
      <c r="B583" t="s">
        <v>58</v>
      </c>
      <c r="C583" t="s">
        <v>341</v>
      </c>
      <c r="D583">
        <v>90129</v>
      </c>
      <c r="E583">
        <v>4</v>
      </c>
      <c r="F583" s="24" t="str">
        <f t="shared" si="55"/>
        <v>2024-3</v>
      </c>
      <c r="O583" t="s">
        <v>21</v>
      </c>
      <c r="P583" t="s">
        <v>371</v>
      </c>
      <c r="Q583">
        <v>8</v>
      </c>
      <c r="AA583">
        <v>90129</v>
      </c>
      <c r="AB583" t="s">
        <v>58</v>
      </c>
      <c r="AD583">
        <f t="shared" si="53"/>
        <v>0</v>
      </c>
      <c r="AE583">
        <f t="shared" si="54"/>
        <v>0</v>
      </c>
      <c r="AG583" t="s">
        <v>21</v>
      </c>
      <c r="AH583" t="s">
        <v>371</v>
      </c>
      <c r="BF583" t="s">
        <v>371</v>
      </c>
      <c r="BG583" t="s">
        <v>21</v>
      </c>
      <c r="BH583">
        <v>8</v>
      </c>
      <c r="BI583" t="s">
        <v>503</v>
      </c>
      <c r="CG583" t="s">
        <v>53</v>
      </c>
      <c r="CH583" t="s">
        <v>58</v>
      </c>
      <c r="CI583">
        <v>90129</v>
      </c>
      <c r="CJ583" t="s">
        <v>502</v>
      </c>
    </row>
    <row r="584" spans="1:88" x14ac:dyDescent="0.25">
      <c r="A584" t="s">
        <v>35</v>
      </c>
      <c r="B584" t="s">
        <v>9</v>
      </c>
      <c r="C584" t="s">
        <v>341</v>
      </c>
      <c r="D584">
        <v>36632</v>
      </c>
      <c r="E584">
        <v>6</v>
      </c>
      <c r="F584" s="24" t="str">
        <f t="shared" si="55"/>
        <v>2024-3</v>
      </c>
      <c r="O584" t="s">
        <v>5</v>
      </c>
      <c r="P584" t="s">
        <v>293</v>
      </c>
      <c r="Q584">
        <v>9</v>
      </c>
      <c r="AA584">
        <v>36632</v>
      </c>
      <c r="AB584" t="s">
        <v>9</v>
      </c>
      <c r="AD584">
        <f t="shared" si="53"/>
        <v>0</v>
      </c>
      <c r="AE584">
        <f t="shared" si="54"/>
        <v>0</v>
      </c>
      <c r="AG584" t="s">
        <v>5</v>
      </c>
      <c r="AH584" t="s">
        <v>293</v>
      </c>
      <c r="BF584" t="s">
        <v>293</v>
      </c>
      <c r="BG584" t="s">
        <v>5</v>
      </c>
      <c r="BH584">
        <v>9</v>
      </c>
      <c r="BI584" t="s">
        <v>503</v>
      </c>
      <c r="CG584" t="s">
        <v>35</v>
      </c>
      <c r="CH584" t="s">
        <v>9</v>
      </c>
      <c r="CI584">
        <v>36632</v>
      </c>
      <c r="CJ584" t="s">
        <v>502</v>
      </c>
    </row>
    <row r="585" spans="1:88" x14ac:dyDescent="0.25">
      <c r="A585" t="s">
        <v>55</v>
      </c>
      <c r="B585" t="s">
        <v>33</v>
      </c>
      <c r="C585" t="s">
        <v>342</v>
      </c>
      <c r="D585">
        <v>99118</v>
      </c>
      <c r="E585">
        <v>6</v>
      </c>
      <c r="F585" s="24" t="str">
        <f t="shared" si="55"/>
        <v>2024-3</v>
      </c>
      <c r="O585" t="s">
        <v>21</v>
      </c>
      <c r="P585" t="s">
        <v>138</v>
      </c>
      <c r="Q585">
        <v>3</v>
      </c>
      <c r="AA585">
        <v>99118</v>
      </c>
      <c r="AB585" t="s">
        <v>33</v>
      </c>
      <c r="AD585">
        <f t="shared" si="53"/>
        <v>0</v>
      </c>
      <c r="AE585">
        <f t="shared" si="54"/>
        <v>0</v>
      </c>
      <c r="AG585" t="s">
        <v>21</v>
      </c>
      <c r="AH585" t="s">
        <v>138</v>
      </c>
      <c r="BF585" t="s">
        <v>138</v>
      </c>
      <c r="BG585" t="s">
        <v>21</v>
      </c>
      <c r="BH585">
        <v>3</v>
      </c>
      <c r="BI585" t="s">
        <v>503</v>
      </c>
      <c r="CG585" t="s">
        <v>55</v>
      </c>
      <c r="CH585" t="s">
        <v>33</v>
      </c>
      <c r="CI585">
        <v>99118</v>
      </c>
      <c r="CJ585" t="s">
        <v>502</v>
      </c>
    </row>
    <row r="586" spans="1:88" x14ac:dyDescent="0.25">
      <c r="A586" t="s">
        <v>10</v>
      </c>
      <c r="B586" t="s">
        <v>22</v>
      </c>
      <c r="C586" t="s">
        <v>342</v>
      </c>
      <c r="D586">
        <v>20176</v>
      </c>
      <c r="E586">
        <v>7</v>
      </c>
      <c r="F586" s="24" t="str">
        <f t="shared" si="55"/>
        <v>2024-3</v>
      </c>
      <c r="O586" t="s">
        <v>21</v>
      </c>
      <c r="P586" t="s">
        <v>370</v>
      </c>
      <c r="Q586">
        <v>6</v>
      </c>
      <c r="AA586">
        <v>20176</v>
      </c>
      <c r="AB586" t="s">
        <v>22</v>
      </c>
      <c r="AD586">
        <f t="shared" si="53"/>
        <v>0</v>
      </c>
      <c r="AE586">
        <f t="shared" si="54"/>
        <v>0</v>
      </c>
      <c r="AG586" t="s">
        <v>21</v>
      </c>
      <c r="AH586" t="s">
        <v>370</v>
      </c>
      <c r="BF586" t="s">
        <v>370</v>
      </c>
      <c r="BG586" t="s">
        <v>21</v>
      </c>
      <c r="BH586">
        <v>6</v>
      </c>
      <c r="BI586" t="s">
        <v>504</v>
      </c>
      <c r="CG586" t="s">
        <v>10</v>
      </c>
      <c r="CH586" t="s">
        <v>22</v>
      </c>
      <c r="CI586">
        <v>20176</v>
      </c>
      <c r="CJ586" t="s">
        <v>502</v>
      </c>
    </row>
    <row r="587" spans="1:88" x14ac:dyDescent="0.25">
      <c r="A587" t="s">
        <v>8</v>
      </c>
      <c r="B587" t="s">
        <v>79</v>
      </c>
      <c r="C587" t="s">
        <v>342</v>
      </c>
      <c r="D587">
        <v>40402</v>
      </c>
      <c r="E587">
        <v>4</v>
      </c>
      <c r="F587" s="24" t="str">
        <f t="shared" si="55"/>
        <v>2024-3</v>
      </c>
      <c r="O587" t="s">
        <v>53</v>
      </c>
      <c r="P587" t="s">
        <v>244</v>
      </c>
      <c r="Q587">
        <v>5</v>
      </c>
      <c r="AA587">
        <v>40402</v>
      </c>
      <c r="AB587" t="s">
        <v>79</v>
      </c>
      <c r="AD587">
        <f t="shared" si="53"/>
        <v>0</v>
      </c>
      <c r="AE587">
        <f t="shared" si="54"/>
        <v>0</v>
      </c>
      <c r="AG587" t="s">
        <v>53</v>
      </c>
      <c r="AH587" t="s">
        <v>244</v>
      </c>
      <c r="BF587" t="s">
        <v>244</v>
      </c>
      <c r="BG587" t="s">
        <v>53</v>
      </c>
      <c r="BH587">
        <v>5</v>
      </c>
      <c r="BI587" t="s">
        <v>504</v>
      </c>
      <c r="CG587" t="s">
        <v>8</v>
      </c>
      <c r="CH587" t="s">
        <v>79</v>
      </c>
      <c r="CI587">
        <v>40402</v>
      </c>
      <c r="CJ587" t="s">
        <v>502</v>
      </c>
    </row>
    <row r="588" spans="1:88" x14ac:dyDescent="0.25">
      <c r="A588" t="s">
        <v>55</v>
      </c>
      <c r="B588" t="s">
        <v>164</v>
      </c>
      <c r="C588" t="s">
        <v>342</v>
      </c>
      <c r="D588">
        <v>42417</v>
      </c>
      <c r="E588">
        <v>8</v>
      </c>
      <c r="F588" s="24" t="str">
        <f t="shared" si="55"/>
        <v>2024-3</v>
      </c>
      <c r="O588" t="s">
        <v>8</v>
      </c>
      <c r="P588" t="s">
        <v>68</v>
      </c>
      <c r="Q588">
        <v>4</v>
      </c>
      <c r="AA588">
        <v>42417</v>
      </c>
      <c r="AB588" t="s">
        <v>164</v>
      </c>
      <c r="AD588">
        <f t="shared" si="53"/>
        <v>0</v>
      </c>
      <c r="AE588">
        <f t="shared" si="54"/>
        <v>0</v>
      </c>
      <c r="AG588" t="s">
        <v>8</v>
      </c>
      <c r="AH588" t="s">
        <v>68</v>
      </c>
      <c r="BF588" t="s">
        <v>68</v>
      </c>
      <c r="BG588" t="s">
        <v>8</v>
      </c>
      <c r="BH588">
        <v>4</v>
      </c>
      <c r="BI588" t="s">
        <v>504</v>
      </c>
      <c r="CG588" t="s">
        <v>55</v>
      </c>
      <c r="CH588" t="s">
        <v>164</v>
      </c>
      <c r="CI588">
        <v>42417</v>
      </c>
      <c r="CJ588" t="s">
        <v>502</v>
      </c>
    </row>
    <row r="589" spans="1:88" x14ac:dyDescent="0.25">
      <c r="A589" t="s">
        <v>53</v>
      </c>
      <c r="B589" t="s">
        <v>137</v>
      </c>
      <c r="C589" t="s">
        <v>342</v>
      </c>
      <c r="D589">
        <v>77974</v>
      </c>
      <c r="E589">
        <v>2</v>
      </c>
      <c r="F589" s="24" t="str">
        <f t="shared" si="55"/>
        <v>2024-3</v>
      </c>
      <c r="O589" t="s">
        <v>37</v>
      </c>
      <c r="P589" t="s">
        <v>280</v>
      </c>
      <c r="Q589">
        <v>8</v>
      </c>
      <c r="AA589">
        <v>77974</v>
      </c>
      <c r="AB589" t="s">
        <v>137</v>
      </c>
      <c r="AD589">
        <f t="shared" si="53"/>
        <v>0</v>
      </c>
      <c r="AE589">
        <f t="shared" si="54"/>
        <v>0</v>
      </c>
      <c r="AG589" t="s">
        <v>37</v>
      </c>
      <c r="AH589" t="s">
        <v>280</v>
      </c>
      <c r="BF589" t="s">
        <v>280</v>
      </c>
      <c r="BG589" t="s">
        <v>37</v>
      </c>
      <c r="BH589">
        <v>8</v>
      </c>
      <c r="BI589" t="s">
        <v>504</v>
      </c>
      <c r="CG589" t="s">
        <v>53</v>
      </c>
      <c r="CH589" t="s">
        <v>137</v>
      </c>
      <c r="CI589">
        <v>77974</v>
      </c>
      <c r="CJ589" t="s">
        <v>502</v>
      </c>
    </row>
    <row r="590" spans="1:88" x14ac:dyDescent="0.25">
      <c r="A590" t="s">
        <v>55</v>
      </c>
      <c r="B590" t="s">
        <v>82</v>
      </c>
      <c r="C590" t="s">
        <v>342</v>
      </c>
      <c r="D590">
        <v>29778</v>
      </c>
      <c r="E590">
        <v>4</v>
      </c>
      <c r="F590" s="24" t="str">
        <f t="shared" si="55"/>
        <v>2024-3</v>
      </c>
      <c r="O590" t="s">
        <v>8</v>
      </c>
      <c r="P590" t="s">
        <v>131</v>
      </c>
      <c r="Q590">
        <v>1</v>
      </c>
      <c r="AA590">
        <v>29778</v>
      </c>
      <c r="AB590" t="s">
        <v>82</v>
      </c>
      <c r="AD590">
        <f t="shared" si="53"/>
        <v>0</v>
      </c>
      <c r="AE590">
        <f t="shared" si="54"/>
        <v>0</v>
      </c>
      <c r="AG590" t="s">
        <v>8</v>
      </c>
      <c r="AH590" t="s">
        <v>131</v>
      </c>
      <c r="BF590" t="s">
        <v>131</v>
      </c>
      <c r="BG590" t="s">
        <v>8</v>
      </c>
      <c r="BH590">
        <v>1</v>
      </c>
      <c r="BI590" t="s">
        <v>504</v>
      </c>
      <c r="CG590" t="s">
        <v>55</v>
      </c>
      <c r="CH590" t="s">
        <v>82</v>
      </c>
      <c r="CI590">
        <v>29778</v>
      </c>
      <c r="CJ590" t="s">
        <v>502</v>
      </c>
    </row>
    <row r="591" spans="1:88" x14ac:dyDescent="0.25">
      <c r="A591" t="s">
        <v>53</v>
      </c>
      <c r="B591" t="s">
        <v>27</v>
      </c>
      <c r="C591" t="s">
        <v>342</v>
      </c>
      <c r="D591">
        <v>59410</v>
      </c>
      <c r="E591">
        <v>6</v>
      </c>
      <c r="F591" s="24" t="str">
        <f t="shared" si="55"/>
        <v>2024-3</v>
      </c>
      <c r="O591" t="s">
        <v>8</v>
      </c>
      <c r="P591" t="s">
        <v>253</v>
      </c>
      <c r="Q591">
        <v>8</v>
      </c>
      <c r="AA591">
        <v>59410</v>
      </c>
      <c r="AB591" t="s">
        <v>27</v>
      </c>
      <c r="AD591">
        <f t="shared" si="53"/>
        <v>0</v>
      </c>
      <c r="AE591">
        <f t="shared" si="54"/>
        <v>0</v>
      </c>
      <c r="AG591" t="s">
        <v>8</v>
      </c>
      <c r="AH591" t="s">
        <v>253</v>
      </c>
      <c r="BF591" t="s">
        <v>253</v>
      </c>
      <c r="BG591" t="s">
        <v>8</v>
      </c>
      <c r="BH591">
        <v>8</v>
      </c>
      <c r="BI591" t="s">
        <v>504</v>
      </c>
      <c r="CG591" t="s">
        <v>53</v>
      </c>
      <c r="CH591" t="s">
        <v>27</v>
      </c>
      <c r="CI591">
        <v>59410</v>
      </c>
      <c r="CJ591" t="s">
        <v>502</v>
      </c>
    </row>
    <row r="592" spans="1:88" x14ac:dyDescent="0.25">
      <c r="A592" t="s">
        <v>75</v>
      </c>
      <c r="B592" t="s">
        <v>88</v>
      </c>
      <c r="C592" t="s">
        <v>342</v>
      </c>
      <c r="D592">
        <v>61402</v>
      </c>
      <c r="E592">
        <v>5</v>
      </c>
      <c r="F592" s="24" t="str">
        <f t="shared" si="55"/>
        <v>2024-3</v>
      </c>
      <c r="O592" t="s">
        <v>37</v>
      </c>
      <c r="P592" t="s">
        <v>95</v>
      </c>
      <c r="Q592">
        <v>5</v>
      </c>
      <c r="AA592">
        <v>61402</v>
      </c>
      <c r="AB592" t="s">
        <v>88</v>
      </c>
      <c r="AD592">
        <f t="shared" si="53"/>
        <v>0</v>
      </c>
      <c r="AE592">
        <f t="shared" si="54"/>
        <v>0</v>
      </c>
      <c r="AG592" t="s">
        <v>37</v>
      </c>
      <c r="AH592" t="s">
        <v>95</v>
      </c>
      <c r="BF592" t="s">
        <v>95</v>
      </c>
      <c r="BG592" t="s">
        <v>37</v>
      </c>
      <c r="BH592">
        <v>5</v>
      </c>
      <c r="BI592" t="s">
        <v>504</v>
      </c>
      <c r="CG592" t="s">
        <v>75</v>
      </c>
      <c r="CH592" t="s">
        <v>88</v>
      </c>
      <c r="CI592">
        <v>61402</v>
      </c>
      <c r="CJ592" t="s">
        <v>502</v>
      </c>
    </row>
    <row r="593" spans="1:88" x14ac:dyDescent="0.25">
      <c r="A593" t="s">
        <v>35</v>
      </c>
      <c r="B593" t="s">
        <v>177</v>
      </c>
      <c r="C593" t="s">
        <v>342</v>
      </c>
      <c r="D593">
        <v>91164</v>
      </c>
      <c r="E593">
        <v>7</v>
      </c>
      <c r="F593" s="24" t="str">
        <f t="shared" si="55"/>
        <v>2024-3</v>
      </c>
      <c r="O593" t="s">
        <v>37</v>
      </c>
      <c r="P593" t="s">
        <v>125</v>
      </c>
      <c r="Q593">
        <v>2</v>
      </c>
      <c r="AA593">
        <v>91164</v>
      </c>
      <c r="AB593" t="s">
        <v>177</v>
      </c>
      <c r="AD593">
        <f t="shared" si="53"/>
        <v>0</v>
      </c>
      <c r="AE593">
        <f t="shared" si="54"/>
        <v>0</v>
      </c>
      <c r="AG593" t="s">
        <v>37</v>
      </c>
      <c r="AH593" t="s">
        <v>125</v>
      </c>
      <c r="BF593" t="s">
        <v>125</v>
      </c>
      <c r="BG593" t="s">
        <v>37</v>
      </c>
      <c r="BH593">
        <v>2</v>
      </c>
      <c r="BI593" t="s">
        <v>504</v>
      </c>
      <c r="CG593" t="s">
        <v>35</v>
      </c>
      <c r="CH593" t="s">
        <v>177</v>
      </c>
      <c r="CI593">
        <v>91164</v>
      </c>
      <c r="CJ593" t="s">
        <v>502</v>
      </c>
    </row>
    <row r="594" spans="1:88" x14ac:dyDescent="0.25">
      <c r="A594" t="s">
        <v>35</v>
      </c>
      <c r="B594" t="s">
        <v>166</v>
      </c>
      <c r="C594" t="s">
        <v>342</v>
      </c>
      <c r="D594">
        <v>23342</v>
      </c>
      <c r="E594">
        <v>8</v>
      </c>
      <c r="F594" s="24" t="str">
        <f t="shared" si="55"/>
        <v>2024-3</v>
      </c>
      <c r="O594" t="s">
        <v>35</v>
      </c>
      <c r="P594" t="s">
        <v>152</v>
      </c>
      <c r="Q594">
        <v>7</v>
      </c>
      <c r="AA594">
        <v>23342</v>
      </c>
      <c r="AB594" t="s">
        <v>166</v>
      </c>
      <c r="AD594">
        <f t="shared" si="53"/>
        <v>0</v>
      </c>
      <c r="AE594">
        <f t="shared" si="54"/>
        <v>0</v>
      </c>
      <c r="AG594" t="s">
        <v>35</v>
      </c>
      <c r="AH594" t="s">
        <v>152</v>
      </c>
      <c r="BF594" t="s">
        <v>152</v>
      </c>
      <c r="BG594" t="s">
        <v>35</v>
      </c>
      <c r="BH594">
        <v>7</v>
      </c>
      <c r="BI594" t="s">
        <v>504</v>
      </c>
      <c r="CG594" t="s">
        <v>35</v>
      </c>
      <c r="CH594" t="s">
        <v>166</v>
      </c>
      <c r="CI594">
        <v>23342</v>
      </c>
      <c r="CJ594" t="s">
        <v>502</v>
      </c>
    </row>
    <row r="595" spans="1:88" x14ac:dyDescent="0.25">
      <c r="A595" t="s">
        <v>35</v>
      </c>
      <c r="B595" t="s">
        <v>237</v>
      </c>
      <c r="C595" t="s">
        <v>342</v>
      </c>
      <c r="D595">
        <v>11819</v>
      </c>
      <c r="E595">
        <v>9</v>
      </c>
      <c r="F595" s="24" t="str">
        <f t="shared" si="55"/>
        <v>2024-3</v>
      </c>
      <c r="O595" t="s">
        <v>5</v>
      </c>
      <c r="P595" t="s">
        <v>36</v>
      </c>
      <c r="Q595">
        <v>2</v>
      </c>
      <c r="AA595">
        <v>11819</v>
      </c>
      <c r="AB595" t="s">
        <v>237</v>
      </c>
      <c r="AD595">
        <f t="shared" si="53"/>
        <v>0</v>
      </c>
      <c r="AE595">
        <f t="shared" si="54"/>
        <v>0</v>
      </c>
      <c r="AG595" t="s">
        <v>5</v>
      </c>
      <c r="AH595" t="s">
        <v>36</v>
      </c>
      <c r="BF595" t="s">
        <v>36</v>
      </c>
      <c r="BG595" t="s">
        <v>5</v>
      </c>
      <c r="BH595">
        <v>2</v>
      </c>
      <c r="BI595" t="s">
        <v>504</v>
      </c>
      <c r="CG595" t="s">
        <v>35</v>
      </c>
      <c r="CH595" t="s">
        <v>237</v>
      </c>
      <c r="CI595">
        <v>11819</v>
      </c>
      <c r="CJ595" t="s">
        <v>502</v>
      </c>
    </row>
    <row r="596" spans="1:88" x14ac:dyDescent="0.25">
      <c r="A596" t="s">
        <v>35</v>
      </c>
      <c r="B596" t="s">
        <v>337</v>
      </c>
      <c r="C596" t="s">
        <v>343</v>
      </c>
      <c r="D596">
        <v>36438</v>
      </c>
      <c r="E596">
        <v>5</v>
      </c>
      <c r="F596" s="24" t="str">
        <f t="shared" si="55"/>
        <v>2024-3</v>
      </c>
      <c r="O596" t="s">
        <v>53</v>
      </c>
      <c r="P596" t="s">
        <v>174</v>
      </c>
      <c r="Q596">
        <v>7</v>
      </c>
      <c r="AA596">
        <v>36438</v>
      </c>
      <c r="AB596" t="s">
        <v>337</v>
      </c>
      <c r="AD596">
        <f t="shared" si="53"/>
        <v>0</v>
      </c>
      <c r="AE596">
        <f t="shared" si="54"/>
        <v>0</v>
      </c>
      <c r="AG596" t="s">
        <v>53</v>
      </c>
      <c r="AH596" t="s">
        <v>174</v>
      </c>
      <c r="BF596" t="s">
        <v>174</v>
      </c>
      <c r="BG596" t="s">
        <v>53</v>
      </c>
      <c r="BH596">
        <v>7</v>
      </c>
      <c r="BI596" t="s">
        <v>504</v>
      </c>
      <c r="CG596" t="s">
        <v>35</v>
      </c>
      <c r="CH596" t="s">
        <v>337</v>
      </c>
      <c r="CI596">
        <v>36438</v>
      </c>
      <c r="CJ596" t="s">
        <v>502</v>
      </c>
    </row>
    <row r="597" spans="1:88" x14ac:dyDescent="0.25">
      <c r="A597" t="s">
        <v>14</v>
      </c>
      <c r="B597" t="s">
        <v>255</v>
      </c>
      <c r="C597" t="s">
        <v>343</v>
      </c>
      <c r="D597">
        <v>94871</v>
      </c>
      <c r="E597">
        <v>5</v>
      </c>
      <c r="F597" s="24" t="str">
        <f t="shared" si="55"/>
        <v>2024-3</v>
      </c>
      <c r="O597" t="s">
        <v>37</v>
      </c>
      <c r="P597" t="s">
        <v>52</v>
      </c>
      <c r="Q597">
        <v>8</v>
      </c>
      <c r="AA597">
        <v>94871</v>
      </c>
      <c r="AB597" t="s">
        <v>255</v>
      </c>
      <c r="AD597">
        <f t="shared" si="53"/>
        <v>0</v>
      </c>
      <c r="AE597">
        <f t="shared" si="54"/>
        <v>0</v>
      </c>
      <c r="AG597" t="s">
        <v>37</v>
      </c>
      <c r="AH597" t="s">
        <v>52</v>
      </c>
      <c r="BF597" t="s">
        <v>52</v>
      </c>
      <c r="BG597" t="s">
        <v>37</v>
      </c>
      <c r="BH597">
        <v>8</v>
      </c>
      <c r="BI597" t="s">
        <v>504</v>
      </c>
      <c r="CG597" t="s">
        <v>14</v>
      </c>
      <c r="CH597" t="s">
        <v>255</v>
      </c>
      <c r="CI597">
        <v>94871</v>
      </c>
      <c r="CJ597" t="s">
        <v>502</v>
      </c>
    </row>
    <row r="598" spans="1:88" x14ac:dyDescent="0.25">
      <c r="A598" t="s">
        <v>21</v>
      </c>
      <c r="B598" t="s">
        <v>293</v>
      </c>
      <c r="C598" t="s">
        <v>343</v>
      </c>
      <c r="D598">
        <v>62557</v>
      </c>
      <c r="E598">
        <v>6</v>
      </c>
      <c r="F598" s="24" t="str">
        <f t="shared" si="55"/>
        <v>2024-3</v>
      </c>
      <c r="O598" t="s">
        <v>8</v>
      </c>
      <c r="P598" t="s">
        <v>263</v>
      </c>
      <c r="Q598">
        <v>7</v>
      </c>
      <c r="AA598">
        <v>62557</v>
      </c>
      <c r="AB598" t="s">
        <v>293</v>
      </c>
      <c r="AD598">
        <f t="shared" si="53"/>
        <v>0</v>
      </c>
      <c r="AE598">
        <f t="shared" si="54"/>
        <v>0</v>
      </c>
      <c r="AG598" t="s">
        <v>8</v>
      </c>
      <c r="AH598" t="s">
        <v>263</v>
      </c>
      <c r="BF598" t="s">
        <v>263</v>
      </c>
      <c r="BG598" t="s">
        <v>8</v>
      </c>
      <c r="BH598">
        <v>7</v>
      </c>
      <c r="BI598" t="s">
        <v>504</v>
      </c>
      <c r="CG598" t="s">
        <v>21</v>
      </c>
      <c r="CH598" t="s">
        <v>293</v>
      </c>
      <c r="CI598">
        <v>62557</v>
      </c>
      <c r="CJ598" t="s">
        <v>502</v>
      </c>
    </row>
    <row r="599" spans="1:88" x14ac:dyDescent="0.25">
      <c r="A599" t="s">
        <v>8</v>
      </c>
      <c r="B599" t="s">
        <v>41</v>
      </c>
      <c r="C599" t="s">
        <v>344</v>
      </c>
      <c r="D599">
        <v>32980</v>
      </c>
      <c r="E599">
        <v>6</v>
      </c>
      <c r="F599" s="24" t="str">
        <f t="shared" si="55"/>
        <v>2024-3</v>
      </c>
      <c r="O599" t="s">
        <v>53</v>
      </c>
      <c r="P599" t="s">
        <v>268</v>
      </c>
      <c r="Q599">
        <v>6</v>
      </c>
      <c r="AA599">
        <v>32980</v>
      </c>
      <c r="AB599" t="s">
        <v>41</v>
      </c>
      <c r="AD599">
        <f t="shared" si="53"/>
        <v>0</v>
      </c>
      <c r="AE599">
        <f t="shared" si="54"/>
        <v>0</v>
      </c>
      <c r="AG599" t="s">
        <v>53</v>
      </c>
      <c r="AH599" t="s">
        <v>268</v>
      </c>
      <c r="BF599" t="s">
        <v>268</v>
      </c>
      <c r="BG599" t="s">
        <v>53</v>
      </c>
      <c r="BH599">
        <v>6</v>
      </c>
      <c r="BI599" t="s">
        <v>504</v>
      </c>
      <c r="CG599" t="s">
        <v>8</v>
      </c>
      <c r="CH599" t="s">
        <v>41</v>
      </c>
      <c r="CI599">
        <v>32980</v>
      </c>
      <c r="CJ599" t="s">
        <v>502</v>
      </c>
    </row>
    <row r="600" spans="1:88" x14ac:dyDescent="0.25">
      <c r="A600" t="s">
        <v>21</v>
      </c>
      <c r="B600" t="s">
        <v>122</v>
      </c>
      <c r="C600" t="s">
        <v>344</v>
      </c>
      <c r="D600">
        <v>30543</v>
      </c>
      <c r="E600">
        <v>7</v>
      </c>
      <c r="F600" s="24" t="str">
        <f t="shared" si="55"/>
        <v>2024-3</v>
      </c>
      <c r="O600" t="s">
        <v>55</v>
      </c>
      <c r="P600" t="s">
        <v>206</v>
      </c>
      <c r="Q600">
        <v>7</v>
      </c>
      <c r="AA600">
        <v>30543</v>
      </c>
      <c r="AB600" t="s">
        <v>122</v>
      </c>
      <c r="AD600">
        <f t="shared" si="53"/>
        <v>0</v>
      </c>
      <c r="AE600">
        <f t="shared" si="54"/>
        <v>0</v>
      </c>
      <c r="AG600" t="s">
        <v>55</v>
      </c>
      <c r="AH600" t="s">
        <v>206</v>
      </c>
      <c r="BF600" t="s">
        <v>206</v>
      </c>
      <c r="BG600" t="s">
        <v>55</v>
      </c>
      <c r="BH600">
        <v>7</v>
      </c>
      <c r="BI600" t="s">
        <v>504</v>
      </c>
      <c r="CG600" t="s">
        <v>21</v>
      </c>
      <c r="CH600" t="s">
        <v>122</v>
      </c>
      <c r="CI600">
        <v>30543</v>
      </c>
      <c r="CJ600" t="s">
        <v>502</v>
      </c>
    </row>
    <row r="601" spans="1:88" x14ac:dyDescent="0.25">
      <c r="A601" t="s">
        <v>53</v>
      </c>
      <c r="B601" t="s">
        <v>206</v>
      </c>
      <c r="C601" t="s">
        <v>344</v>
      </c>
      <c r="D601">
        <v>20979</v>
      </c>
      <c r="E601">
        <v>9</v>
      </c>
      <c r="F601" s="24" t="str">
        <f t="shared" si="55"/>
        <v>2024-3</v>
      </c>
      <c r="O601" t="s">
        <v>55</v>
      </c>
      <c r="P601" t="s">
        <v>46</v>
      </c>
      <c r="Q601">
        <v>3</v>
      </c>
      <c r="AA601">
        <v>20979</v>
      </c>
      <c r="AB601" t="s">
        <v>206</v>
      </c>
      <c r="AD601">
        <f t="shared" si="53"/>
        <v>0</v>
      </c>
      <c r="AE601">
        <f t="shared" si="54"/>
        <v>0</v>
      </c>
      <c r="AG601" t="s">
        <v>55</v>
      </c>
      <c r="AH601" t="s">
        <v>46</v>
      </c>
      <c r="BF601" t="s">
        <v>46</v>
      </c>
      <c r="BG601" t="s">
        <v>55</v>
      </c>
      <c r="BH601">
        <v>3</v>
      </c>
      <c r="BI601" t="s">
        <v>504</v>
      </c>
      <c r="CG601" t="s">
        <v>53</v>
      </c>
      <c r="CH601" t="s">
        <v>206</v>
      </c>
      <c r="CI601">
        <v>20979</v>
      </c>
      <c r="CJ601" t="s">
        <v>502</v>
      </c>
    </row>
    <row r="602" spans="1:88" x14ac:dyDescent="0.25">
      <c r="A602" t="s">
        <v>8</v>
      </c>
      <c r="B602" t="s">
        <v>105</v>
      </c>
      <c r="C602" t="s">
        <v>345</v>
      </c>
      <c r="D602">
        <v>20469</v>
      </c>
      <c r="E602">
        <v>5</v>
      </c>
      <c r="F602" s="24" t="str">
        <f t="shared" si="55"/>
        <v>2024-3</v>
      </c>
      <c r="O602" t="s">
        <v>37</v>
      </c>
      <c r="P602" t="s">
        <v>65</v>
      </c>
      <c r="Q602">
        <v>5</v>
      </c>
      <c r="AA602">
        <v>20469</v>
      </c>
      <c r="AB602" t="s">
        <v>105</v>
      </c>
      <c r="AD602">
        <f t="shared" si="53"/>
        <v>0</v>
      </c>
      <c r="AE602">
        <f t="shared" si="54"/>
        <v>0</v>
      </c>
      <c r="AG602" t="s">
        <v>37</v>
      </c>
      <c r="AH602" t="s">
        <v>65</v>
      </c>
      <c r="BF602" t="s">
        <v>65</v>
      </c>
      <c r="BG602" t="s">
        <v>37</v>
      </c>
      <c r="BH602">
        <v>5</v>
      </c>
      <c r="BI602" t="s">
        <v>504</v>
      </c>
      <c r="CG602" t="s">
        <v>8</v>
      </c>
      <c r="CH602" t="s">
        <v>105</v>
      </c>
      <c r="CI602">
        <v>20469</v>
      </c>
      <c r="CJ602" t="s">
        <v>502</v>
      </c>
    </row>
    <row r="603" spans="1:88" x14ac:dyDescent="0.25">
      <c r="A603" t="s">
        <v>14</v>
      </c>
      <c r="B603" t="s">
        <v>130</v>
      </c>
      <c r="C603" t="s">
        <v>346</v>
      </c>
      <c r="D603">
        <v>95022</v>
      </c>
      <c r="E603">
        <v>3</v>
      </c>
      <c r="F603" s="24" t="str">
        <f t="shared" si="55"/>
        <v>2024-3</v>
      </c>
      <c r="O603" t="s">
        <v>16</v>
      </c>
      <c r="P603" t="s">
        <v>370</v>
      </c>
      <c r="Q603">
        <v>4</v>
      </c>
      <c r="AA603">
        <v>95022</v>
      </c>
      <c r="AB603" t="s">
        <v>130</v>
      </c>
      <c r="AD603">
        <f t="shared" si="53"/>
        <v>0</v>
      </c>
      <c r="AE603">
        <f t="shared" si="54"/>
        <v>0</v>
      </c>
      <c r="AG603" t="s">
        <v>16</v>
      </c>
      <c r="AH603" t="s">
        <v>370</v>
      </c>
      <c r="BF603" t="s">
        <v>370</v>
      </c>
      <c r="BG603" t="s">
        <v>16</v>
      </c>
      <c r="BH603">
        <v>4</v>
      </c>
      <c r="BI603" t="s">
        <v>504</v>
      </c>
      <c r="CG603" t="s">
        <v>14</v>
      </c>
      <c r="CH603" t="s">
        <v>130</v>
      </c>
      <c r="CI603">
        <v>95022</v>
      </c>
      <c r="CJ603" t="s">
        <v>502</v>
      </c>
    </row>
    <row r="604" spans="1:88" x14ac:dyDescent="0.25">
      <c r="A604" t="s">
        <v>5</v>
      </c>
      <c r="B604" t="s">
        <v>347</v>
      </c>
      <c r="C604" t="s">
        <v>346</v>
      </c>
      <c r="D604">
        <v>94097</v>
      </c>
      <c r="E604">
        <v>8</v>
      </c>
      <c r="F604" s="24" t="str">
        <f t="shared" si="55"/>
        <v>2024-3</v>
      </c>
      <c r="O604" t="s">
        <v>37</v>
      </c>
      <c r="P604" t="s">
        <v>196</v>
      </c>
      <c r="Q604">
        <v>6</v>
      </c>
      <c r="AA604">
        <v>94097</v>
      </c>
      <c r="AB604" t="s">
        <v>347</v>
      </c>
      <c r="AD604">
        <f t="shared" si="53"/>
        <v>0</v>
      </c>
      <c r="AE604">
        <f t="shared" si="54"/>
        <v>0</v>
      </c>
      <c r="AG604" t="s">
        <v>37</v>
      </c>
      <c r="AH604" t="s">
        <v>196</v>
      </c>
      <c r="BF604" t="s">
        <v>196</v>
      </c>
      <c r="BG604" t="s">
        <v>37</v>
      </c>
      <c r="BH604">
        <v>6</v>
      </c>
      <c r="BI604" t="s">
        <v>504</v>
      </c>
      <c r="CG604" t="s">
        <v>5</v>
      </c>
      <c r="CH604" t="s">
        <v>347</v>
      </c>
      <c r="CI604">
        <v>94097</v>
      </c>
      <c r="CJ604" t="s">
        <v>502</v>
      </c>
    </row>
    <row r="605" spans="1:88" x14ac:dyDescent="0.25">
      <c r="A605" t="s">
        <v>29</v>
      </c>
      <c r="B605" t="s">
        <v>101</v>
      </c>
      <c r="C605" t="s">
        <v>346</v>
      </c>
      <c r="D605">
        <v>19568</v>
      </c>
      <c r="E605">
        <v>2</v>
      </c>
      <c r="F605" s="24" t="str">
        <f t="shared" si="55"/>
        <v>2024-3</v>
      </c>
      <c r="O605" t="s">
        <v>21</v>
      </c>
      <c r="P605" t="s">
        <v>105</v>
      </c>
      <c r="Q605">
        <v>3</v>
      </c>
      <c r="AA605">
        <v>19568</v>
      </c>
      <c r="AB605" t="s">
        <v>101</v>
      </c>
      <c r="AD605">
        <f t="shared" si="53"/>
        <v>0</v>
      </c>
      <c r="AE605">
        <f t="shared" si="54"/>
        <v>0</v>
      </c>
      <c r="AG605" t="s">
        <v>21</v>
      </c>
      <c r="AH605" t="s">
        <v>105</v>
      </c>
      <c r="BF605" t="s">
        <v>105</v>
      </c>
      <c r="BG605" t="s">
        <v>21</v>
      </c>
      <c r="BH605">
        <v>3</v>
      </c>
      <c r="BI605" t="s">
        <v>504</v>
      </c>
      <c r="CG605" t="s">
        <v>29</v>
      </c>
      <c r="CH605" t="s">
        <v>101</v>
      </c>
      <c r="CI605">
        <v>19568</v>
      </c>
      <c r="CJ605" t="s">
        <v>502</v>
      </c>
    </row>
    <row r="606" spans="1:88" x14ac:dyDescent="0.25">
      <c r="A606" t="s">
        <v>16</v>
      </c>
      <c r="B606" t="s">
        <v>284</v>
      </c>
      <c r="C606" t="s">
        <v>346</v>
      </c>
      <c r="D606">
        <v>21808</v>
      </c>
      <c r="E606">
        <v>3</v>
      </c>
      <c r="F606" s="24" t="str">
        <f t="shared" si="55"/>
        <v>2024-3</v>
      </c>
      <c r="O606" t="s">
        <v>8</v>
      </c>
      <c r="P606" t="s">
        <v>170</v>
      </c>
      <c r="Q606">
        <v>7</v>
      </c>
      <c r="AA606">
        <v>21808</v>
      </c>
      <c r="AB606" t="s">
        <v>284</v>
      </c>
      <c r="AD606">
        <f t="shared" si="53"/>
        <v>0</v>
      </c>
      <c r="AE606">
        <f t="shared" si="54"/>
        <v>0</v>
      </c>
      <c r="AG606" t="s">
        <v>8</v>
      </c>
      <c r="AH606" t="s">
        <v>170</v>
      </c>
      <c r="BF606" t="s">
        <v>170</v>
      </c>
      <c r="BG606" t="s">
        <v>8</v>
      </c>
      <c r="BH606">
        <v>7</v>
      </c>
      <c r="BI606" t="s">
        <v>504</v>
      </c>
      <c r="CG606" t="s">
        <v>16</v>
      </c>
      <c r="CH606" t="s">
        <v>284</v>
      </c>
      <c r="CI606">
        <v>21808</v>
      </c>
      <c r="CJ606" t="s">
        <v>502</v>
      </c>
    </row>
    <row r="607" spans="1:88" x14ac:dyDescent="0.25">
      <c r="A607" t="s">
        <v>37</v>
      </c>
      <c r="B607" t="s">
        <v>190</v>
      </c>
      <c r="C607" t="s">
        <v>348</v>
      </c>
      <c r="D607">
        <v>23298</v>
      </c>
      <c r="E607">
        <v>9</v>
      </c>
      <c r="F607" s="24" t="str">
        <f t="shared" si="55"/>
        <v>2024-4</v>
      </c>
      <c r="O607" t="s">
        <v>5</v>
      </c>
      <c r="P607" t="s">
        <v>172</v>
      </c>
      <c r="Q607">
        <v>8</v>
      </c>
      <c r="AA607">
        <v>23298</v>
      </c>
      <c r="AB607" t="s">
        <v>190</v>
      </c>
      <c r="AD607">
        <f t="shared" si="53"/>
        <v>0</v>
      </c>
      <c r="AE607">
        <f t="shared" si="54"/>
        <v>0</v>
      </c>
      <c r="AG607" t="s">
        <v>5</v>
      </c>
      <c r="AH607" t="s">
        <v>172</v>
      </c>
      <c r="BF607" t="s">
        <v>172</v>
      </c>
      <c r="BG607" t="s">
        <v>5</v>
      </c>
      <c r="BH607">
        <v>8</v>
      </c>
      <c r="BI607" t="s">
        <v>504</v>
      </c>
      <c r="CG607" t="s">
        <v>37</v>
      </c>
      <c r="CH607" t="s">
        <v>190</v>
      </c>
      <c r="CI607">
        <v>23298</v>
      </c>
      <c r="CJ607" t="s">
        <v>503</v>
      </c>
    </row>
    <row r="608" spans="1:88" x14ac:dyDescent="0.25">
      <c r="A608" t="s">
        <v>35</v>
      </c>
      <c r="B608" t="s">
        <v>88</v>
      </c>
      <c r="C608" t="s">
        <v>348</v>
      </c>
      <c r="D608">
        <v>88751</v>
      </c>
      <c r="E608">
        <v>10</v>
      </c>
      <c r="F608" s="24" t="str">
        <f t="shared" si="55"/>
        <v>2024-4</v>
      </c>
      <c r="O608" t="s">
        <v>29</v>
      </c>
      <c r="P608" t="s">
        <v>51</v>
      </c>
      <c r="Q608">
        <v>8</v>
      </c>
      <c r="AA608">
        <v>88751</v>
      </c>
      <c r="AB608" t="s">
        <v>88</v>
      </c>
      <c r="AD608">
        <f t="shared" si="53"/>
        <v>0</v>
      </c>
      <c r="AE608">
        <f t="shared" si="54"/>
        <v>0</v>
      </c>
      <c r="AG608" t="s">
        <v>29</v>
      </c>
      <c r="AH608" t="s">
        <v>51</v>
      </c>
      <c r="BF608" t="s">
        <v>51</v>
      </c>
      <c r="BG608" t="s">
        <v>29</v>
      </c>
      <c r="BH608">
        <v>8</v>
      </c>
      <c r="BI608" t="s">
        <v>504</v>
      </c>
      <c r="CG608" t="s">
        <v>35</v>
      </c>
      <c r="CH608" t="s">
        <v>88</v>
      </c>
      <c r="CI608">
        <v>88751</v>
      </c>
      <c r="CJ608" t="s">
        <v>503</v>
      </c>
    </row>
    <row r="609" spans="1:88" x14ac:dyDescent="0.25">
      <c r="A609" t="s">
        <v>14</v>
      </c>
      <c r="B609" t="s">
        <v>234</v>
      </c>
      <c r="C609" t="s">
        <v>349</v>
      </c>
      <c r="D609">
        <v>18263</v>
      </c>
      <c r="E609">
        <v>9</v>
      </c>
      <c r="F609" s="24" t="str">
        <f t="shared" si="55"/>
        <v>2024-4</v>
      </c>
      <c r="O609" t="s">
        <v>53</v>
      </c>
      <c r="P609" t="s">
        <v>95</v>
      </c>
      <c r="Q609">
        <v>8</v>
      </c>
      <c r="AA609">
        <v>18263</v>
      </c>
      <c r="AB609" t="s">
        <v>234</v>
      </c>
      <c r="AD609">
        <f t="shared" si="53"/>
        <v>0</v>
      </c>
      <c r="AE609">
        <f t="shared" si="54"/>
        <v>0</v>
      </c>
      <c r="AG609" t="s">
        <v>53</v>
      </c>
      <c r="AH609" t="s">
        <v>95</v>
      </c>
      <c r="BF609" t="s">
        <v>95</v>
      </c>
      <c r="BG609" t="s">
        <v>53</v>
      </c>
      <c r="BH609">
        <v>8</v>
      </c>
      <c r="BI609" t="s">
        <v>504</v>
      </c>
      <c r="CG609" t="s">
        <v>14</v>
      </c>
      <c r="CH609" t="s">
        <v>234</v>
      </c>
      <c r="CI609">
        <v>18263</v>
      </c>
      <c r="CJ609" t="s">
        <v>503</v>
      </c>
    </row>
    <row r="610" spans="1:88" x14ac:dyDescent="0.25">
      <c r="A610" t="s">
        <v>55</v>
      </c>
      <c r="B610" t="s">
        <v>119</v>
      </c>
      <c r="C610" t="s">
        <v>349</v>
      </c>
      <c r="D610">
        <v>24239</v>
      </c>
      <c r="E610">
        <v>9</v>
      </c>
      <c r="F610" s="24" t="str">
        <f t="shared" si="55"/>
        <v>2024-4</v>
      </c>
      <c r="O610" t="s">
        <v>10</v>
      </c>
      <c r="P610" t="s">
        <v>287</v>
      </c>
      <c r="Q610">
        <v>9</v>
      </c>
      <c r="AA610">
        <v>24239</v>
      </c>
      <c r="AB610" t="s">
        <v>119</v>
      </c>
      <c r="AD610">
        <f t="shared" si="53"/>
        <v>0</v>
      </c>
      <c r="AE610">
        <f t="shared" si="54"/>
        <v>0</v>
      </c>
      <c r="AG610" t="s">
        <v>10</v>
      </c>
      <c r="AH610" t="s">
        <v>287</v>
      </c>
      <c r="BF610" t="s">
        <v>287</v>
      </c>
      <c r="BG610" t="s">
        <v>10</v>
      </c>
      <c r="BH610">
        <v>9</v>
      </c>
      <c r="BI610" t="s">
        <v>504</v>
      </c>
      <c r="CG610" t="s">
        <v>55</v>
      </c>
      <c r="CH610" t="s">
        <v>119</v>
      </c>
      <c r="CI610">
        <v>24239</v>
      </c>
      <c r="CJ610" t="s">
        <v>503</v>
      </c>
    </row>
    <row r="611" spans="1:88" x14ac:dyDescent="0.25">
      <c r="A611" t="s">
        <v>16</v>
      </c>
      <c r="B611" t="s">
        <v>172</v>
      </c>
      <c r="C611" t="s">
        <v>350</v>
      </c>
      <c r="D611">
        <v>31339</v>
      </c>
      <c r="E611">
        <v>5</v>
      </c>
      <c r="F611" s="24" t="str">
        <f t="shared" si="55"/>
        <v>2024-4</v>
      </c>
      <c r="O611" t="s">
        <v>29</v>
      </c>
      <c r="P611" t="s">
        <v>187</v>
      </c>
      <c r="Q611">
        <v>9</v>
      </c>
      <c r="AA611">
        <v>31339</v>
      </c>
      <c r="AB611" t="s">
        <v>172</v>
      </c>
      <c r="AD611">
        <f t="shared" si="53"/>
        <v>0</v>
      </c>
      <c r="AE611">
        <f t="shared" si="54"/>
        <v>0</v>
      </c>
      <c r="AG611" t="s">
        <v>29</v>
      </c>
      <c r="AH611" t="s">
        <v>187</v>
      </c>
      <c r="BF611" t="s">
        <v>187</v>
      </c>
      <c r="BG611" t="s">
        <v>29</v>
      </c>
      <c r="BH611">
        <v>9</v>
      </c>
      <c r="BI611" t="s">
        <v>504</v>
      </c>
      <c r="CG611" t="s">
        <v>16</v>
      </c>
      <c r="CH611" t="s">
        <v>172</v>
      </c>
      <c r="CI611">
        <v>31339</v>
      </c>
      <c r="CJ611" t="s">
        <v>503</v>
      </c>
    </row>
    <row r="612" spans="1:88" x14ac:dyDescent="0.25">
      <c r="A612" t="s">
        <v>10</v>
      </c>
      <c r="B612" t="s">
        <v>249</v>
      </c>
      <c r="C612" t="s">
        <v>350</v>
      </c>
      <c r="D612">
        <v>64221</v>
      </c>
      <c r="E612">
        <v>8</v>
      </c>
      <c r="F612" s="24" t="str">
        <f t="shared" si="55"/>
        <v>2024-4</v>
      </c>
      <c r="O612" t="s">
        <v>53</v>
      </c>
      <c r="P612" t="s">
        <v>30</v>
      </c>
      <c r="Q612">
        <v>8</v>
      </c>
      <c r="AA612">
        <v>64221</v>
      </c>
      <c r="AB612" t="s">
        <v>249</v>
      </c>
      <c r="AD612">
        <f t="shared" si="53"/>
        <v>0</v>
      </c>
      <c r="AE612">
        <f t="shared" si="54"/>
        <v>0</v>
      </c>
      <c r="AG612" t="s">
        <v>53</v>
      </c>
      <c r="AH612" t="s">
        <v>30</v>
      </c>
      <c r="BF612" t="s">
        <v>30</v>
      </c>
      <c r="BG612" t="s">
        <v>53</v>
      </c>
      <c r="BH612">
        <v>8</v>
      </c>
      <c r="BI612" t="s">
        <v>504</v>
      </c>
      <c r="CG612" t="s">
        <v>10</v>
      </c>
      <c r="CH612" t="s">
        <v>249</v>
      </c>
      <c r="CI612">
        <v>64221</v>
      </c>
      <c r="CJ612" t="s">
        <v>503</v>
      </c>
    </row>
    <row r="613" spans="1:88" x14ac:dyDescent="0.25">
      <c r="A613" t="s">
        <v>53</v>
      </c>
      <c r="B613" t="s">
        <v>197</v>
      </c>
      <c r="C613" t="s">
        <v>351</v>
      </c>
      <c r="D613">
        <v>53408</v>
      </c>
      <c r="E613">
        <v>5</v>
      </c>
      <c r="F613" s="24" t="str">
        <f t="shared" si="55"/>
        <v>2024-4</v>
      </c>
      <c r="O613" t="s">
        <v>5</v>
      </c>
      <c r="P613" t="s">
        <v>61</v>
      </c>
      <c r="Q613">
        <v>9</v>
      </c>
      <c r="AA613">
        <v>53408</v>
      </c>
      <c r="AB613" t="s">
        <v>197</v>
      </c>
      <c r="AD613">
        <f t="shared" si="53"/>
        <v>0</v>
      </c>
      <c r="AE613">
        <f t="shared" si="54"/>
        <v>0</v>
      </c>
      <c r="AG613" t="s">
        <v>5</v>
      </c>
      <c r="AH613" t="s">
        <v>61</v>
      </c>
      <c r="BF613" t="s">
        <v>61</v>
      </c>
      <c r="BG613" t="s">
        <v>5</v>
      </c>
      <c r="BH613">
        <v>9</v>
      </c>
      <c r="BI613" t="s">
        <v>504</v>
      </c>
      <c r="CG613" t="s">
        <v>53</v>
      </c>
      <c r="CH613" t="s">
        <v>197</v>
      </c>
      <c r="CI613">
        <v>53408</v>
      </c>
      <c r="CJ613" t="s">
        <v>503</v>
      </c>
    </row>
    <row r="614" spans="1:88" x14ac:dyDescent="0.25">
      <c r="A614" t="s">
        <v>37</v>
      </c>
      <c r="B614" t="s">
        <v>297</v>
      </c>
      <c r="C614" t="s">
        <v>351</v>
      </c>
      <c r="D614">
        <v>22416</v>
      </c>
      <c r="E614">
        <v>7</v>
      </c>
      <c r="F614" s="24" t="str">
        <f t="shared" si="55"/>
        <v>2024-4</v>
      </c>
      <c r="O614" t="s">
        <v>37</v>
      </c>
      <c r="P614" t="s">
        <v>121</v>
      </c>
      <c r="Q614">
        <v>10</v>
      </c>
      <c r="AA614">
        <v>22416</v>
      </c>
      <c r="AB614" t="s">
        <v>297</v>
      </c>
      <c r="AD614">
        <f t="shared" si="53"/>
        <v>0</v>
      </c>
      <c r="AE614">
        <f t="shared" si="54"/>
        <v>0</v>
      </c>
      <c r="AG614" t="s">
        <v>37</v>
      </c>
      <c r="AH614" t="s">
        <v>121</v>
      </c>
      <c r="BF614" t="s">
        <v>121</v>
      </c>
      <c r="BG614" t="s">
        <v>37</v>
      </c>
      <c r="BH614">
        <v>10</v>
      </c>
      <c r="BI614" t="s">
        <v>504</v>
      </c>
      <c r="CG614" t="s">
        <v>37</v>
      </c>
      <c r="CH614" t="s">
        <v>297</v>
      </c>
      <c r="CI614">
        <v>22416</v>
      </c>
      <c r="CJ614" t="s">
        <v>503</v>
      </c>
    </row>
    <row r="615" spans="1:88" x14ac:dyDescent="0.25">
      <c r="A615" t="s">
        <v>29</v>
      </c>
      <c r="B615" t="s">
        <v>214</v>
      </c>
      <c r="C615" t="s">
        <v>351</v>
      </c>
      <c r="D615">
        <v>20019</v>
      </c>
      <c r="E615">
        <v>7</v>
      </c>
      <c r="F615" s="24" t="str">
        <f t="shared" si="55"/>
        <v>2024-4</v>
      </c>
      <c r="O615" t="s">
        <v>16</v>
      </c>
      <c r="P615" t="s">
        <v>242</v>
      </c>
      <c r="Q615">
        <v>7</v>
      </c>
      <c r="AA615">
        <v>20019</v>
      </c>
      <c r="AB615" t="s">
        <v>214</v>
      </c>
      <c r="AD615">
        <f t="shared" si="53"/>
        <v>0</v>
      </c>
      <c r="AE615">
        <f t="shared" si="54"/>
        <v>0</v>
      </c>
      <c r="AG615" t="s">
        <v>16</v>
      </c>
      <c r="AH615" t="s">
        <v>242</v>
      </c>
      <c r="BF615" t="s">
        <v>242</v>
      </c>
      <c r="BG615" t="s">
        <v>16</v>
      </c>
      <c r="BH615">
        <v>7</v>
      </c>
      <c r="BI615" t="s">
        <v>504</v>
      </c>
      <c r="CG615" t="s">
        <v>29</v>
      </c>
      <c r="CH615" t="s">
        <v>214</v>
      </c>
      <c r="CI615">
        <v>20019</v>
      </c>
      <c r="CJ615" t="s">
        <v>503</v>
      </c>
    </row>
    <row r="616" spans="1:88" x14ac:dyDescent="0.25">
      <c r="A616" t="s">
        <v>21</v>
      </c>
      <c r="B616" t="s">
        <v>121</v>
      </c>
      <c r="C616" t="s">
        <v>351</v>
      </c>
      <c r="D616">
        <v>66943</v>
      </c>
      <c r="E616">
        <v>6</v>
      </c>
      <c r="F616" s="24" t="str">
        <f t="shared" si="55"/>
        <v>2024-4</v>
      </c>
      <c r="O616" t="s">
        <v>21</v>
      </c>
      <c r="P616" t="s">
        <v>244</v>
      </c>
      <c r="Q616">
        <v>0</v>
      </c>
      <c r="AA616">
        <v>66943</v>
      </c>
      <c r="AB616" t="s">
        <v>121</v>
      </c>
      <c r="AD616">
        <f t="shared" si="53"/>
        <v>0</v>
      </c>
      <c r="AE616">
        <f t="shared" si="54"/>
        <v>0</v>
      </c>
      <c r="AG616" t="s">
        <v>21</v>
      </c>
      <c r="AH616" t="s">
        <v>244</v>
      </c>
      <c r="BF616" t="s">
        <v>244</v>
      </c>
      <c r="BG616" t="s">
        <v>21</v>
      </c>
      <c r="BH616">
        <v>0</v>
      </c>
      <c r="BI616" t="s">
        <v>504</v>
      </c>
      <c r="CG616" t="s">
        <v>21</v>
      </c>
      <c r="CH616" t="s">
        <v>121</v>
      </c>
      <c r="CI616">
        <v>66943</v>
      </c>
      <c r="CJ616" t="s">
        <v>503</v>
      </c>
    </row>
    <row r="617" spans="1:88" x14ac:dyDescent="0.25">
      <c r="A617" t="s">
        <v>53</v>
      </c>
      <c r="B617" t="s">
        <v>147</v>
      </c>
      <c r="C617" t="s">
        <v>351</v>
      </c>
      <c r="D617">
        <v>66392</v>
      </c>
      <c r="E617">
        <v>6</v>
      </c>
      <c r="F617" s="24" t="str">
        <f t="shared" si="55"/>
        <v>2024-4</v>
      </c>
      <c r="O617" t="s">
        <v>53</v>
      </c>
      <c r="P617" t="s">
        <v>17</v>
      </c>
      <c r="Q617">
        <v>3</v>
      </c>
      <c r="AA617">
        <v>66392</v>
      </c>
      <c r="AB617" t="s">
        <v>147</v>
      </c>
      <c r="AD617">
        <f t="shared" si="53"/>
        <v>0</v>
      </c>
      <c r="AE617">
        <f t="shared" si="54"/>
        <v>0</v>
      </c>
      <c r="AG617" t="s">
        <v>53</v>
      </c>
      <c r="AH617" t="s">
        <v>17</v>
      </c>
      <c r="BF617" t="s">
        <v>17</v>
      </c>
      <c r="BG617" t="s">
        <v>53</v>
      </c>
      <c r="BH617">
        <v>3</v>
      </c>
      <c r="BI617" t="s">
        <v>504</v>
      </c>
      <c r="CG617" t="s">
        <v>53</v>
      </c>
      <c r="CH617" t="s">
        <v>147</v>
      </c>
      <c r="CI617">
        <v>66392</v>
      </c>
      <c r="CJ617" t="s">
        <v>503</v>
      </c>
    </row>
    <row r="618" spans="1:88" x14ac:dyDescent="0.25">
      <c r="A618" t="s">
        <v>16</v>
      </c>
      <c r="B618" t="s">
        <v>92</v>
      </c>
      <c r="C618" t="s">
        <v>351</v>
      </c>
      <c r="D618">
        <v>46282</v>
      </c>
      <c r="E618">
        <v>6</v>
      </c>
      <c r="F618" s="24" t="str">
        <f t="shared" si="55"/>
        <v>2024-4</v>
      </c>
      <c r="O618" t="s">
        <v>37</v>
      </c>
      <c r="P618" t="s">
        <v>42</v>
      </c>
      <c r="Q618">
        <v>5</v>
      </c>
      <c r="AA618">
        <v>46282</v>
      </c>
      <c r="AB618" t="s">
        <v>92</v>
      </c>
      <c r="AD618">
        <f t="shared" si="53"/>
        <v>0</v>
      </c>
      <c r="AE618">
        <f t="shared" si="54"/>
        <v>0</v>
      </c>
      <c r="AG618" t="s">
        <v>37</v>
      </c>
      <c r="AH618" t="s">
        <v>42</v>
      </c>
      <c r="BF618" t="s">
        <v>42</v>
      </c>
      <c r="BG618" t="s">
        <v>37</v>
      </c>
      <c r="BH618">
        <v>5</v>
      </c>
      <c r="BI618" t="s">
        <v>504</v>
      </c>
      <c r="CG618" t="s">
        <v>16</v>
      </c>
      <c r="CH618" t="s">
        <v>92</v>
      </c>
      <c r="CI618">
        <v>46282</v>
      </c>
      <c r="CJ618" t="s">
        <v>503</v>
      </c>
    </row>
    <row r="619" spans="1:88" x14ac:dyDescent="0.25">
      <c r="A619" t="s">
        <v>55</v>
      </c>
      <c r="B619" t="s">
        <v>347</v>
      </c>
      <c r="C619" t="s">
        <v>352</v>
      </c>
      <c r="D619">
        <v>40074</v>
      </c>
      <c r="E619">
        <v>7</v>
      </c>
      <c r="F619" s="24" t="str">
        <f t="shared" si="55"/>
        <v>2024-4</v>
      </c>
      <c r="O619" t="s">
        <v>10</v>
      </c>
      <c r="P619" t="s">
        <v>284</v>
      </c>
      <c r="Q619">
        <v>3</v>
      </c>
      <c r="AA619">
        <v>40074</v>
      </c>
      <c r="AB619" t="s">
        <v>347</v>
      </c>
      <c r="AD619">
        <f t="shared" si="53"/>
        <v>0</v>
      </c>
      <c r="AE619">
        <f t="shared" si="54"/>
        <v>0</v>
      </c>
      <c r="AG619" t="s">
        <v>10</v>
      </c>
      <c r="AH619" t="s">
        <v>284</v>
      </c>
      <c r="BF619" t="s">
        <v>284</v>
      </c>
      <c r="BG619" t="s">
        <v>10</v>
      </c>
      <c r="BH619">
        <v>3</v>
      </c>
      <c r="BI619" t="s">
        <v>504</v>
      </c>
      <c r="CG619" t="s">
        <v>55</v>
      </c>
      <c r="CH619" t="s">
        <v>347</v>
      </c>
      <c r="CI619">
        <v>40074</v>
      </c>
      <c r="CJ619" t="s">
        <v>503</v>
      </c>
    </row>
    <row r="620" spans="1:88" x14ac:dyDescent="0.25">
      <c r="A620" t="s">
        <v>75</v>
      </c>
      <c r="B620" t="s">
        <v>196</v>
      </c>
      <c r="C620" t="s">
        <v>352</v>
      </c>
      <c r="D620">
        <v>39544</v>
      </c>
      <c r="E620">
        <v>10</v>
      </c>
      <c r="F620" s="24" t="str">
        <f t="shared" si="55"/>
        <v>2024-4</v>
      </c>
      <c r="O620" t="s">
        <v>10</v>
      </c>
      <c r="P620" t="s">
        <v>385</v>
      </c>
      <c r="Q620">
        <v>4</v>
      </c>
      <c r="AA620">
        <v>39544</v>
      </c>
      <c r="AB620" t="s">
        <v>196</v>
      </c>
      <c r="AD620">
        <f t="shared" si="53"/>
        <v>0</v>
      </c>
      <c r="AE620">
        <f t="shared" si="54"/>
        <v>0</v>
      </c>
      <c r="AG620" t="s">
        <v>10</v>
      </c>
      <c r="AH620" t="s">
        <v>385</v>
      </c>
      <c r="BF620" t="s">
        <v>385</v>
      </c>
      <c r="BG620" t="s">
        <v>10</v>
      </c>
      <c r="BH620">
        <v>4</v>
      </c>
      <c r="BI620" t="s">
        <v>504</v>
      </c>
      <c r="CG620" t="s">
        <v>75</v>
      </c>
      <c r="CH620" t="s">
        <v>196</v>
      </c>
      <c r="CI620">
        <v>39544</v>
      </c>
      <c r="CJ620" t="s">
        <v>503</v>
      </c>
    </row>
    <row r="621" spans="1:88" x14ac:dyDescent="0.25">
      <c r="A621" t="s">
        <v>21</v>
      </c>
      <c r="B621" t="s">
        <v>109</v>
      </c>
      <c r="C621" t="s">
        <v>352</v>
      </c>
      <c r="D621">
        <v>64031</v>
      </c>
      <c r="E621">
        <v>9</v>
      </c>
      <c r="F621" s="24" t="str">
        <f t="shared" si="55"/>
        <v>2024-4</v>
      </c>
      <c r="O621" t="s">
        <v>75</v>
      </c>
      <c r="P621" t="s">
        <v>237</v>
      </c>
      <c r="Q621">
        <v>6</v>
      </c>
      <c r="AA621">
        <v>64031</v>
      </c>
      <c r="AB621" t="s">
        <v>109</v>
      </c>
      <c r="AD621">
        <f t="shared" si="53"/>
        <v>0</v>
      </c>
      <c r="AE621">
        <f t="shared" si="54"/>
        <v>0</v>
      </c>
      <c r="AG621" t="s">
        <v>75</v>
      </c>
      <c r="AH621" t="s">
        <v>237</v>
      </c>
      <c r="BF621" t="s">
        <v>237</v>
      </c>
      <c r="BG621" t="s">
        <v>75</v>
      </c>
      <c r="BH621">
        <v>6</v>
      </c>
      <c r="BI621" t="s">
        <v>504</v>
      </c>
      <c r="CG621" t="s">
        <v>21</v>
      </c>
      <c r="CH621" t="s">
        <v>109</v>
      </c>
      <c r="CI621">
        <v>64031</v>
      </c>
      <c r="CJ621" t="s">
        <v>503</v>
      </c>
    </row>
    <row r="622" spans="1:88" x14ac:dyDescent="0.25">
      <c r="A622" t="s">
        <v>8</v>
      </c>
      <c r="B622" t="s">
        <v>353</v>
      </c>
      <c r="C622" t="s">
        <v>352</v>
      </c>
      <c r="D622">
        <v>78917</v>
      </c>
      <c r="E622">
        <v>9</v>
      </c>
      <c r="F622" s="24" t="str">
        <f t="shared" si="55"/>
        <v>2024-4</v>
      </c>
      <c r="O622" t="s">
        <v>75</v>
      </c>
      <c r="P622" t="s">
        <v>44</v>
      </c>
      <c r="Q622">
        <v>2</v>
      </c>
      <c r="AA622">
        <v>78917</v>
      </c>
      <c r="AB622" t="s">
        <v>353</v>
      </c>
      <c r="AD622">
        <f t="shared" si="53"/>
        <v>0</v>
      </c>
      <c r="AE622">
        <f t="shared" si="54"/>
        <v>0</v>
      </c>
      <c r="AG622" t="s">
        <v>75</v>
      </c>
      <c r="AH622" t="s">
        <v>44</v>
      </c>
      <c r="BF622" t="s">
        <v>44</v>
      </c>
      <c r="BG622" t="s">
        <v>75</v>
      </c>
      <c r="BH622">
        <v>2</v>
      </c>
      <c r="BI622" t="s">
        <v>504</v>
      </c>
      <c r="CG622" t="s">
        <v>8</v>
      </c>
      <c r="CH622" t="s">
        <v>353</v>
      </c>
      <c r="CI622">
        <v>78917</v>
      </c>
      <c r="CJ622" t="s">
        <v>503</v>
      </c>
    </row>
    <row r="623" spans="1:88" x14ac:dyDescent="0.25">
      <c r="A623" t="s">
        <v>21</v>
      </c>
      <c r="B623" t="s">
        <v>79</v>
      </c>
      <c r="C623" t="s">
        <v>352</v>
      </c>
      <c r="D623">
        <v>64257</v>
      </c>
      <c r="E623">
        <v>9</v>
      </c>
      <c r="F623" s="24" t="str">
        <f t="shared" si="55"/>
        <v>2024-4</v>
      </c>
      <c r="O623" t="s">
        <v>16</v>
      </c>
      <c r="P623" t="s">
        <v>125</v>
      </c>
      <c r="Q623">
        <v>8</v>
      </c>
      <c r="AA623">
        <v>64257</v>
      </c>
      <c r="AB623" t="s">
        <v>79</v>
      </c>
      <c r="AD623">
        <f t="shared" si="53"/>
        <v>0</v>
      </c>
      <c r="AE623">
        <f t="shared" si="54"/>
        <v>0</v>
      </c>
      <c r="AG623" t="s">
        <v>16</v>
      </c>
      <c r="AH623" t="s">
        <v>125</v>
      </c>
      <c r="BF623" t="s">
        <v>125</v>
      </c>
      <c r="BG623" t="s">
        <v>16</v>
      </c>
      <c r="BH623">
        <v>8</v>
      </c>
      <c r="BI623" t="s">
        <v>504</v>
      </c>
      <c r="CG623" t="s">
        <v>21</v>
      </c>
      <c r="CH623" t="s">
        <v>79</v>
      </c>
      <c r="CI623">
        <v>64257</v>
      </c>
      <c r="CJ623" t="s">
        <v>503</v>
      </c>
    </row>
    <row r="624" spans="1:88" x14ac:dyDescent="0.25">
      <c r="A624" t="s">
        <v>35</v>
      </c>
      <c r="B624" t="s">
        <v>82</v>
      </c>
      <c r="C624" t="s">
        <v>352</v>
      </c>
      <c r="D624">
        <v>12945</v>
      </c>
      <c r="E624">
        <v>10</v>
      </c>
      <c r="F624" s="24" t="str">
        <f t="shared" si="55"/>
        <v>2024-4</v>
      </c>
      <c r="O624" t="s">
        <v>55</v>
      </c>
      <c r="P624" t="s">
        <v>130</v>
      </c>
      <c r="Q624">
        <v>3</v>
      </c>
      <c r="AA624">
        <v>12945</v>
      </c>
      <c r="AB624" t="s">
        <v>82</v>
      </c>
      <c r="AD624">
        <f t="shared" si="53"/>
        <v>0</v>
      </c>
      <c r="AE624">
        <f t="shared" si="54"/>
        <v>0</v>
      </c>
      <c r="AG624" t="s">
        <v>55</v>
      </c>
      <c r="AH624" t="s">
        <v>130</v>
      </c>
      <c r="BF624" t="s">
        <v>130</v>
      </c>
      <c r="BG624" t="s">
        <v>55</v>
      </c>
      <c r="BH624">
        <v>3</v>
      </c>
      <c r="BI624" t="s">
        <v>504</v>
      </c>
      <c r="CG624" t="s">
        <v>35</v>
      </c>
      <c r="CH624" t="s">
        <v>82</v>
      </c>
      <c r="CI624">
        <v>12945</v>
      </c>
      <c r="CJ624" t="s">
        <v>503</v>
      </c>
    </row>
    <row r="625" spans="1:88" x14ac:dyDescent="0.25">
      <c r="A625" t="s">
        <v>10</v>
      </c>
      <c r="B625" t="s">
        <v>295</v>
      </c>
      <c r="C625" t="s">
        <v>352</v>
      </c>
      <c r="D625">
        <v>14565</v>
      </c>
      <c r="E625">
        <v>6</v>
      </c>
      <c r="F625" s="24" t="str">
        <f t="shared" si="55"/>
        <v>2024-4</v>
      </c>
      <c r="O625" t="s">
        <v>75</v>
      </c>
      <c r="P625" t="s">
        <v>210</v>
      </c>
      <c r="Q625">
        <v>4</v>
      </c>
      <c r="AA625">
        <v>14565</v>
      </c>
      <c r="AB625" t="s">
        <v>295</v>
      </c>
      <c r="AD625">
        <f t="shared" si="53"/>
        <v>0</v>
      </c>
      <c r="AE625">
        <f t="shared" si="54"/>
        <v>0</v>
      </c>
      <c r="AG625" t="s">
        <v>75</v>
      </c>
      <c r="AH625" t="s">
        <v>210</v>
      </c>
      <c r="BF625" t="s">
        <v>210</v>
      </c>
      <c r="BG625" t="s">
        <v>75</v>
      </c>
      <c r="BH625">
        <v>4</v>
      </c>
      <c r="BI625" t="s">
        <v>504</v>
      </c>
      <c r="CG625" t="s">
        <v>10</v>
      </c>
      <c r="CH625" t="s">
        <v>295</v>
      </c>
      <c r="CI625">
        <v>14565</v>
      </c>
      <c r="CJ625" t="s">
        <v>503</v>
      </c>
    </row>
    <row r="626" spans="1:88" x14ac:dyDescent="0.25">
      <c r="A626" t="s">
        <v>53</v>
      </c>
      <c r="B626" t="s">
        <v>170</v>
      </c>
      <c r="C626" t="s">
        <v>354</v>
      </c>
      <c r="D626">
        <v>84559</v>
      </c>
      <c r="E626">
        <v>1</v>
      </c>
      <c r="F626" s="24" t="str">
        <f t="shared" si="55"/>
        <v>2024-4</v>
      </c>
      <c r="O626" t="s">
        <v>8</v>
      </c>
      <c r="P626" t="s">
        <v>231</v>
      </c>
      <c r="Q626">
        <v>6</v>
      </c>
      <c r="AA626">
        <v>84559</v>
      </c>
      <c r="AB626" t="s">
        <v>170</v>
      </c>
      <c r="AD626">
        <f t="shared" si="53"/>
        <v>0</v>
      </c>
      <c r="AE626">
        <f t="shared" si="54"/>
        <v>0</v>
      </c>
      <c r="AG626" t="s">
        <v>8</v>
      </c>
      <c r="AH626" t="s">
        <v>231</v>
      </c>
      <c r="BF626" t="s">
        <v>231</v>
      </c>
      <c r="BG626" t="s">
        <v>8</v>
      </c>
      <c r="BH626">
        <v>6</v>
      </c>
      <c r="BI626" t="s">
        <v>504</v>
      </c>
      <c r="CG626" t="s">
        <v>53</v>
      </c>
      <c r="CH626" t="s">
        <v>170</v>
      </c>
      <c r="CI626">
        <v>84559</v>
      </c>
      <c r="CJ626" t="s">
        <v>503</v>
      </c>
    </row>
    <row r="627" spans="1:88" x14ac:dyDescent="0.25">
      <c r="A627" t="s">
        <v>29</v>
      </c>
      <c r="B627" t="s">
        <v>19</v>
      </c>
      <c r="C627" t="s">
        <v>355</v>
      </c>
      <c r="D627">
        <v>98358</v>
      </c>
      <c r="E627">
        <v>7</v>
      </c>
      <c r="F627" s="24" t="str">
        <f t="shared" si="55"/>
        <v>2024-4</v>
      </c>
      <c r="O627" t="s">
        <v>75</v>
      </c>
      <c r="P627" t="s">
        <v>180</v>
      </c>
      <c r="Q627">
        <v>8</v>
      </c>
      <c r="AA627">
        <v>98358</v>
      </c>
      <c r="AB627" t="s">
        <v>19</v>
      </c>
      <c r="AD627">
        <f t="shared" si="53"/>
        <v>0</v>
      </c>
      <c r="AE627">
        <f t="shared" si="54"/>
        <v>0</v>
      </c>
      <c r="AG627" t="s">
        <v>75</v>
      </c>
      <c r="AH627" t="s">
        <v>180</v>
      </c>
      <c r="BF627" t="s">
        <v>180</v>
      </c>
      <c r="BG627" t="s">
        <v>75</v>
      </c>
      <c r="BH627">
        <v>8</v>
      </c>
      <c r="BI627" t="s">
        <v>504</v>
      </c>
      <c r="CG627" t="s">
        <v>29</v>
      </c>
      <c r="CH627" t="s">
        <v>19</v>
      </c>
      <c r="CI627">
        <v>98358</v>
      </c>
      <c r="CJ627" t="s">
        <v>503</v>
      </c>
    </row>
    <row r="628" spans="1:88" x14ac:dyDescent="0.25">
      <c r="A628" t="s">
        <v>75</v>
      </c>
      <c r="B628" t="s">
        <v>17</v>
      </c>
      <c r="C628" t="s">
        <v>355</v>
      </c>
      <c r="D628">
        <v>33771</v>
      </c>
      <c r="E628">
        <v>9</v>
      </c>
      <c r="F628" s="24" t="str">
        <f t="shared" si="55"/>
        <v>2024-4</v>
      </c>
      <c r="O628" t="s">
        <v>5</v>
      </c>
      <c r="P628" t="s">
        <v>22</v>
      </c>
      <c r="Q628">
        <v>10</v>
      </c>
      <c r="AA628">
        <v>33771</v>
      </c>
      <c r="AB628" t="s">
        <v>17</v>
      </c>
      <c r="AD628">
        <f t="shared" si="53"/>
        <v>0</v>
      </c>
      <c r="AE628">
        <f t="shared" si="54"/>
        <v>0</v>
      </c>
      <c r="AG628" t="s">
        <v>5</v>
      </c>
      <c r="AH628" t="s">
        <v>22</v>
      </c>
      <c r="BF628" t="s">
        <v>22</v>
      </c>
      <c r="BG628" t="s">
        <v>5</v>
      </c>
      <c r="BH628">
        <v>10</v>
      </c>
      <c r="BI628" t="s">
        <v>504</v>
      </c>
      <c r="CG628" t="s">
        <v>75</v>
      </c>
      <c r="CH628" t="s">
        <v>17</v>
      </c>
      <c r="CI628">
        <v>33771</v>
      </c>
      <c r="CJ628" t="s">
        <v>503</v>
      </c>
    </row>
    <row r="629" spans="1:88" x14ac:dyDescent="0.25">
      <c r="A629" t="s">
        <v>75</v>
      </c>
      <c r="B629" t="s">
        <v>129</v>
      </c>
      <c r="C629" t="s">
        <v>355</v>
      </c>
      <c r="D629">
        <v>85239</v>
      </c>
      <c r="E629">
        <v>7</v>
      </c>
      <c r="F629" s="24" t="str">
        <f t="shared" si="55"/>
        <v>2024-4</v>
      </c>
      <c r="O629" t="s">
        <v>75</v>
      </c>
      <c r="P629" t="s">
        <v>206</v>
      </c>
      <c r="Q629">
        <v>8</v>
      </c>
      <c r="AA629">
        <v>85239</v>
      </c>
      <c r="AB629" t="s">
        <v>129</v>
      </c>
      <c r="AD629">
        <f t="shared" si="53"/>
        <v>0</v>
      </c>
      <c r="AE629">
        <f t="shared" si="54"/>
        <v>0</v>
      </c>
      <c r="AG629" t="s">
        <v>75</v>
      </c>
      <c r="AH629" t="s">
        <v>206</v>
      </c>
      <c r="BF629" t="s">
        <v>206</v>
      </c>
      <c r="BG629" t="s">
        <v>75</v>
      </c>
      <c r="BH629">
        <v>8</v>
      </c>
      <c r="BI629" t="s">
        <v>504</v>
      </c>
      <c r="CG629" t="s">
        <v>75</v>
      </c>
      <c r="CH629" t="s">
        <v>129</v>
      </c>
      <c r="CI629">
        <v>85239</v>
      </c>
      <c r="CJ629" t="s">
        <v>503</v>
      </c>
    </row>
    <row r="630" spans="1:88" x14ac:dyDescent="0.25">
      <c r="A630" t="s">
        <v>53</v>
      </c>
      <c r="B630" t="s">
        <v>196</v>
      </c>
      <c r="C630" t="s">
        <v>355</v>
      </c>
      <c r="D630">
        <v>12032</v>
      </c>
      <c r="E630">
        <v>2</v>
      </c>
      <c r="F630" s="24" t="str">
        <f t="shared" si="55"/>
        <v>2024-4</v>
      </c>
      <c r="O630" t="s">
        <v>37</v>
      </c>
      <c r="P630" t="s">
        <v>144</v>
      </c>
      <c r="Q630">
        <v>7</v>
      </c>
      <c r="AA630">
        <v>12032</v>
      </c>
      <c r="AB630" t="s">
        <v>196</v>
      </c>
      <c r="AD630">
        <f t="shared" si="53"/>
        <v>0</v>
      </c>
      <c r="AE630">
        <f t="shared" si="54"/>
        <v>0</v>
      </c>
      <c r="AG630" t="s">
        <v>37</v>
      </c>
      <c r="AH630" t="s">
        <v>144</v>
      </c>
      <c r="BF630" t="s">
        <v>144</v>
      </c>
      <c r="BG630" t="s">
        <v>37</v>
      </c>
      <c r="BH630">
        <v>7</v>
      </c>
      <c r="BI630" t="s">
        <v>504</v>
      </c>
      <c r="CG630" t="s">
        <v>53</v>
      </c>
      <c r="CH630" t="s">
        <v>196</v>
      </c>
      <c r="CI630">
        <v>12032</v>
      </c>
      <c r="CJ630" t="s">
        <v>503</v>
      </c>
    </row>
    <row r="631" spans="1:88" x14ac:dyDescent="0.25">
      <c r="A631" t="s">
        <v>5</v>
      </c>
      <c r="B631" t="s">
        <v>255</v>
      </c>
      <c r="C631" t="s">
        <v>356</v>
      </c>
      <c r="D631">
        <v>16023</v>
      </c>
      <c r="E631">
        <v>6</v>
      </c>
      <c r="F631" s="24" t="str">
        <f t="shared" si="55"/>
        <v>2024-4</v>
      </c>
      <c r="O631" t="s">
        <v>5</v>
      </c>
      <c r="P631" t="s">
        <v>92</v>
      </c>
      <c r="Q631">
        <v>8</v>
      </c>
      <c r="AA631">
        <v>16023</v>
      </c>
      <c r="AB631" t="s">
        <v>255</v>
      </c>
      <c r="AD631">
        <f t="shared" si="53"/>
        <v>0</v>
      </c>
      <c r="AE631">
        <f t="shared" si="54"/>
        <v>0</v>
      </c>
      <c r="AG631" t="s">
        <v>5</v>
      </c>
      <c r="AH631" t="s">
        <v>92</v>
      </c>
      <c r="BF631" t="s">
        <v>92</v>
      </c>
      <c r="BG631" t="s">
        <v>5</v>
      </c>
      <c r="BH631">
        <v>8</v>
      </c>
      <c r="BI631" t="s">
        <v>504</v>
      </c>
      <c r="CG631" t="s">
        <v>5</v>
      </c>
      <c r="CH631" t="s">
        <v>255</v>
      </c>
      <c r="CI631">
        <v>16023</v>
      </c>
      <c r="CJ631" t="s">
        <v>503</v>
      </c>
    </row>
    <row r="632" spans="1:88" x14ac:dyDescent="0.25">
      <c r="A632" t="s">
        <v>21</v>
      </c>
      <c r="B632" t="s">
        <v>109</v>
      </c>
      <c r="C632" t="s">
        <v>357</v>
      </c>
      <c r="D632">
        <v>65012</v>
      </c>
      <c r="E632">
        <v>1</v>
      </c>
      <c r="F632" s="24" t="str">
        <f t="shared" si="55"/>
        <v>2024-4</v>
      </c>
      <c r="O632" t="s">
        <v>5</v>
      </c>
      <c r="P632" t="s">
        <v>71</v>
      </c>
      <c r="Q632">
        <v>3</v>
      </c>
      <c r="AA632">
        <v>65012</v>
      </c>
      <c r="AB632" t="s">
        <v>109</v>
      </c>
      <c r="AD632">
        <f t="shared" si="53"/>
        <v>0</v>
      </c>
      <c r="AE632">
        <f t="shared" si="54"/>
        <v>0</v>
      </c>
      <c r="AG632" t="s">
        <v>5</v>
      </c>
      <c r="AH632" t="s">
        <v>71</v>
      </c>
      <c r="BF632" t="s">
        <v>71</v>
      </c>
      <c r="BG632" t="s">
        <v>5</v>
      </c>
      <c r="BH632">
        <v>3</v>
      </c>
      <c r="BI632" t="s">
        <v>504</v>
      </c>
      <c r="CG632" t="s">
        <v>21</v>
      </c>
      <c r="CH632" t="s">
        <v>109</v>
      </c>
      <c r="CI632">
        <v>65012</v>
      </c>
      <c r="CJ632" t="s">
        <v>503</v>
      </c>
    </row>
    <row r="633" spans="1:88" x14ac:dyDescent="0.25">
      <c r="A633" t="s">
        <v>5</v>
      </c>
      <c r="B633" t="s">
        <v>48</v>
      </c>
      <c r="C633" t="s">
        <v>357</v>
      </c>
      <c r="D633">
        <v>70393</v>
      </c>
      <c r="E633">
        <v>5</v>
      </c>
      <c r="F633" s="24" t="str">
        <f t="shared" si="55"/>
        <v>2024-4</v>
      </c>
      <c r="O633" t="s">
        <v>21</v>
      </c>
      <c r="P633" t="s">
        <v>127</v>
      </c>
      <c r="Q633">
        <v>6</v>
      </c>
      <c r="AA633">
        <v>70393</v>
      </c>
      <c r="AB633" t="s">
        <v>48</v>
      </c>
      <c r="AD633">
        <f t="shared" si="53"/>
        <v>0</v>
      </c>
      <c r="AE633">
        <f t="shared" si="54"/>
        <v>0</v>
      </c>
      <c r="AG633" t="s">
        <v>21</v>
      </c>
      <c r="AH633" t="s">
        <v>127</v>
      </c>
      <c r="BF633" t="s">
        <v>127</v>
      </c>
      <c r="BG633" t="s">
        <v>21</v>
      </c>
      <c r="BH633">
        <v>6</v>
      </c>
      <c r="BI633" t="s">
        <v>504</v>
      </c>
      <c r="CG633" t="s">
        <v>5</v>
      </c>
      <c r="CH633" t="s">
        <v>48</v>
      </c>
      <c r="CI633">
        <v>70393</v>
      </c>
      <c r="CJ633" t="s">
        <v>503</v>
      </c>
    </row>
    <row r="634" spans="1:88" x14ac:dyDescent="0.25">
      <c r="A634" t="s">
        <v>16</v>
      </c>
      <c r="B634" t="s">
        <v>142</v>
      </c>
      <c r="C634" t="s">
        <v>358</v>
      </c>
      <c r="D634">
        <v>42951</v>
      </c>
      <c r="E634">
        <v>8</v>
      </c>
      <c r="F634" s="24" t="str">
        <f t="shared" si="55"/>
        <v>2024-4</v>
      </c>
      <c r="O634" t="s">
        <v>10</v>
      </c>
      <c r="P634" t="s">
        <v>178</v>
      </c>
      <c r="Q634">
        <v>7</v>
      </c>
      <c r="AA634">
        <v>42951</v>
      </c>
      <c r="AB634" t="s">
        <v>142</v>
      </c>
      <c r="AD634">
        <f t="shared" si="53"/>
        <v>0</v>
      </c>
      <c r="AE634">
        <f t="shared" si="54"/>
        <v>0</v>
      </c>
      <c r="AG634" t="s">
        <v>10</v>
      </c>
      <c r="AH634" t="s">
        <v>178</v>
      </c>
      <c r="BF634" t="s">
        <v>178</v>
      </c>
      <c r="BG634" t="s">
        <v>10</v>
      </c>
      <c r="BH634">
        <v>7</v>
      </c>
      <c r="BI634" t="s">
        <v>504</v>
      </c>
      <c r="CG634" t="s">
        <v>16</v>
      </c>
      <c r="CH634" t="s">
        <v>142</v>
      </c>
      <c r="CI634">
        <v>42951</v>
      </c>
      <c r="CJ634" t="s">
        <v>503</v>
      </c>
    </row>
    <row r="635" spans="1:88" x14ac:dyDescent="0.25">
      <c r="A635" t="s">
        <v>75</v>
      </c>
      <c r="B635" t="s">
        <v>50</v>
      </c>
      <c r="C635" t="s">
        <v>358</v>
      </c>
      <c r="D635">
        <v>94065</v>
      </c>
      <c r="E635">
        <v>6</v>
      </c>
      <c r="F635" s="24" t="str">
        <f t="shared" si="55"/>
        <v>2024-4</v>
      </c>
      <c r="O635" t="s">
        <v>16</v>
      </c>
      <c r="P635" t="s">
        <v>177</v>
      </c>
      <c r="Q635">
        <v>3</v>
      </c>
      <c r="AA635">
        <v>94065</v>
      </c>
      <c r="AB635" t="s">
        <v>50</v>
      </c>
      <c r="AD635">
        <f t="shared" si="53"/>
        <v>0</v>
      </c>
      <c r="AE635">
        <f t="shared" si="54"/>
        <v>0</v>
      </c>
      <c r="AG635" t="s">
        <v>16</v>
      </c>
      <c r="AH635" t="s">
        <v>177</v>
      </c>
      <c r="BF635" t="s">
        <v>177</v>
      </c>
      <c r="BG635" t="s">
        <v>16</v>
      </c>
      <c r="BH635">
        <v>3</v>
      </c>
      <c r="BI635" t="s">
        <v>504</v>
      </c>
      <c r="CG635" t="s">
        <v>75</v>
      </c>
      <c r="CH635" t="s">
        <v>50</v>
      </c>
      <c r="CI635">
        <v>94065</v>
      </c>
      <c r="CJ635" t="s">
        <v>503</v>
      </c>
    </row>
    <row r="636" spans="1:88" x14ac:dyDescent="0.25">
      <c r="A636" t="s">
        <v>75</v>
      </c>
      <c r="B636" t="s">
        <v>101</v>
      </c>
      <c r="C636" t="s">
        <v>358</v>
      </c>
      <c r="D636">
        <v>33775</v>
      </c>
      <c r="E636">
        <v>7</v>
      </c>
      <c r="F636" s="24" t="str">
        <f t="shared" si="55"/>
        <v>2024-4</v>
      </c>
      <c r="O636" t="s">
        <v>5</v>
      </c>
      <c r="P636" t="s">
        <v>391</v>
      </c>
      <c r="Q636">
        <v>0</v>
      </c>
      <c r="AA636">
        <v>33775</v>
      </c>
      <c r="AB636" t="s">
        <v>101</v>
      </c>
      <c r="AD636">
        <f t="shared" si="53"/>
        <v>0</v>
      </c>
      <c r="AE636">
        <f t="shared" si="54"/>
        <v>0</v>
      </c>
      <c r="AG636" t="s">
        <v>5</v>
      </c>
      <c r="AH636" t="s">
        <v>391</v>
      </c>
      <c r="BF636" t="s">
        <v>391</v>
      </c>
      <c r="BG636" t="s">
        <v>5</v>
      </c>
      <c r="BH636">
        <v>0</v>
      </c>
      <c r="BI636" t="s">
        <v>504</v>
      </c>
      <c r="CG636" t="s">
        <v>75</v>
      </c>
      <c r="CH636" t="s">
        <v>101</v>
      </c>
      <c r="CI636">
        <v>33775</v>
      </c>
      <c r="CJ636" t="s">
        <v>503</v>
      </c>
    </row>
    <row r="637" spans="1:88" x14ac:dyDescent="0.25">
      <c r="A637" t="s">
        <v>10</v>
      </c>
      <c r="B637" t="s">
        <v>170</v>
      </c>
      <c r="C637" t="s">
        <v>358</v>
      </c>
      <c r="D637">
        <v>36480</v>
      </c>
      <c r="E637">
        <v>3</v>
      </c>
      <c r="F637" s="24" t="str">
        <f t="shared" si="55"/>
        <v>2024-4</v>
      </c>
      <c r="O637" t="s">
        <v>53</v>
      </c>
      <c r="P637" t="s">
        <v>161</v>
      </c>
      <c r="Q637">
        <v>3</v>
      </c>
      <c r="AA637">
        <v>36480</v>
      </c>
      <c r="AB637" t="s">
        <v>170</v>
      </c>
      <c r="AD637">
        <f t="shared" si="53"/>
        <v>0</v>
      </c>
      <c r="AE637">
        <f t="shared" si="54"/>
        <v>0</v>
      </c>
      <c r="AG637" t="s">
        <v>53</v>
      </c>
      <c r="AH637" t="s">
        <v>161</v>
      </c>
      <c r="BF637" t="s">
        <v>161</v>
      </c>
      <c r="BG637" t="s">
        <v>53</v>
      </c>
      <c r="BH637">
        <v>3</v>
      </c>
      <c r="BI637" t="s">
        <v>504</v>
      </c>
      <c r="CG637" t="s">
        <v>10</v>
      </c>
      <c r="CH637" t="s">
        <v>170</v>
      </c>
      <c r="CI637">
        <v>36480</v>
      </c>
      <c r="CJ637" t="s">
        <v>503</v>
      </c>
    </row>
    <row r="638" spans="1:88" x14ac:dyDescent="0.25">
      <c r="A638" t="s">
        <v>75</v>
      </c>
      <c r="B638" t="s">
        <v>109</v>
      </c>
      <c r="C638" t="s">
        <v>358</v>
      </c>
      <c r="D638">
        <v>81058</v>
      </c>
      <c r="E638">
        <v>8</v>
      </c>
      <c r="F638" s="24" t="str">
        <f t="shared" si="55"/>
        <v>2024-4</v>
      </c>
      <c r="O638" t="s">
        <v>14</v>
      </c>
      <c r="P638" t="s">
        <v>337</v>
      </c>
      <c r="Q638">
        <v>4</v>
      </c>
      <c r="AA638">
        <v>81058</v>
      </c>
      <c r="AB638" t="s">
        <v>109</v>
      </c>
      <c r="AD638">
        <f t="shared" si="53"/>
        <v>0</v>
      </c>
      <c r="AE638">
        <f t="shared" si="54"/>
        <v>0</v>
      </c>
      <c r="AG638" t="s">
        <v>14</v>
      </c>
      <c r="AH638" t="s">
        <v>337</v>
      </c>
      <c r="BF638" t="s">
        <v>337</v>
      </c>
      <c r="BG638" t="s">
        <v>14</v>
      </c>
      <c r="BH638">
        <v>4</v>
      </c>
      <c r="BI638" t="s">
        <v>504</v>
      </c>
      <c r="CG638" t="s">
        <v>75</v>
      </c>
      <c r="CH638" t="s">
        <v>109</v>
      </c>
      <c r="CI638">
        <v>81058</v>
      </c>
      <c r="CJ638" t="s">
        <v>503</v>
      </c>
    </row>
    <row r="639" spans="1:88" x14ac:dyDescent="0.25">
      <c r="A639" t="s">
        <v>16</v>
      </c>
      <c r="B639" t="s">
        <v>22</v>
      </c>
      <c r="C639" t="s">
        <v>358</v>
      </c>
      <c r="D639">
        <v>61149</v>
      </c>
      <c r="E639">
        <v>8</v>
      </c>
      <c r="F639" s="24" t="str">
        <f t="shared" si="55"/>
        <v>2024-4</v>
      </c>
      <c r="O639" t="s">
        <v>55</v>
      </c>
      <c r="P639" t="s">
        <v>393</v>
      </c>
      <c r="Q639">
        <v>5</v>
      </c>
      <c r="AA639">
        <v>61149</v>
      </c>
      <c r="AB639" t="s">
        <v>22</v>
      </c>
      <c r="AD639">
        <f t="shared" si="53"/>
        <v>0</v>
      </c>
      <c r="AE639">
        <f t="shared" si="54"/>
        <v>0</v>
      </c>
      <c r="AG639" t="s">
        <v>55</v>
      </c>
      <c r="AH639" t="s">
        <v>393</v>
      </c>
      <c r="BF639" t="s">
        <v>393</v>
      </c>
      <c r="BG639" t="s">
        <v>55</v>
      </c>
      <c r="BH639">
        <v>5</v>
      </c>
      <c r="BI639" t="s">
        <v>504</v>
      </c>
      <c r="CG639" t="s">
        <v>16</v>
      </c>
      <c r="CH639" t="s">
        <v>22</v>
      </c>
      <c r="CI639">
        <v>61149</v>
      </c>
      <c r="CJ639" t="s">
        <v>503</v>
      </c>
    </row>
    <row r="640" spans="1:88" x14ac:dyDescent="0.25">
      <c r="A640" t="s">
        <v>8</v>
      </c>
      <c r="B640" t="s">
        <v>79</v>
      </c>
      <c r="C640" t="s">
        <v>358</v>
      </c>
      <c r="D640">
        <v>13810</v>
      </c>
      <c r="E640">
        <v>6</v>
      </c>
      <c r="F640" s="24" t="str">
        <f t="shared" si="55"/>
        <v>2024-4</v>
      </c>
      <c r="O640" t="s">
        <v>55</v>
      </c>
      <c r="P640" t="s">
        <v>81</v>
      </c>
      <c r="Q640">
        <v>7</v>
      </c>
      <c r="AA640">
        <v>13810</v>
      </c>
      <c r="AB640" t="s">
        <v>79</v>
      </c>
      <c r="AD640">
        <f t="shared" si="53"/>
        <v>0</v>
      </c>
      <c r="AE640">
        <f t="shared" si="54"/>
        <v>0</v>
      </c>
      <c r="AG640" t="s">
        <v>55</v>
      </c>
      <c r="AH640" t="s">
        <v>81</v>
      </c>
      <c r="BF640" t="s">
        <v>81</v>
      </c>
      <c r="BG640" t="s">
        <v>55</v>
      </c>
      <c r="BH640">
        <v>7</v>
      </c>
      <c r="BI640" t="s">
        <v>504</v>
      </c>
      <c r="CG640" t="s">
        <v>8</v>
      </c>
      <c r="CH640" t="s">
        <v>79</v>
      </c>
      <c r="CI640">
        <v>13810</v>
      </c>
      <c r="CJ640" t="s">
        <v>503</v>
      </c>
    </row>
    <row r="641" spans="1:88" x14ac:dyDescent="0.25">
      <c r="A641" t="s">
        <v>10</v>
      </c>
      <c r="B641" t="s">
        <v>174</v>
      </c>
      <c r="C641" t="s">
        <v>358</v>
      </c>
      <c r="D641">
        <v>75032</v>
      </c>
      <c r="E641">
        <v>8</v>
      </c>
      <c r="F641" s="24" t="str">
        <f t="shared" si="55"/>
        <v>2024-4</v>
      </c>
      <c r="O641" t="s">
        <v>5</v>
      </c>
      <c r="P641" t="s">
        <v>209</v>
      </c>
      <c r="Q641">
        <v>3</v>
      </c>
      <c r="AA641">
        <v>75032</v>
      </c>
      <c r="AB641" t="s">
        <v>174</v>
      </c>
      <c r="AD641">
        <f t="shared" si="53"/>
        <v>0</v>
      </c>
      <c r="AE641">
        <f t="shared" si="54"/>
        <v>0</v>
      </c>
      <c r="AG641" t="s">
        <v>5</v>
      </c>
      <c r="AH641" t="s">
        <v>209</v>
      </c>
      <c r="BF641" t="s">
        <v>209</v>
      </c>
      <c r="BG641" t="s">
        <v>5</v>
      </c>
      <c r="BH641">
        <v>3</v>
      </c>
      <c r="BI641" t="s">
        <v>504</v>
      </c>
      <c r="CG641" t="s">
        <v>10</v>
      </c>
      <c r="CH641" t="s">
        <v>174</v>
      </c>
      <c r="CI641">
        <v>75032</v>
      </c>
      <c r="CJ641" t="s">
        <v>503</v>
      </c>
    </row>
    <row r="642" spans="1:88" x14ac:dyDescent="0.25">
      <c r="A642" t="s">
        <v>37</v>
      </c>
      <c r="B642" t="s">
        <v>247</v>
      </c>
      <c r="C642" t="s">
        <v>358</v>
      </c>
      <c r="D642">
        <v>32860</v>
      </c>
      <c r="E642">
        <v>8</v>
      </c>
      <c r="F642" s="24" t="str">
        <f t="shared" si="55"/>
        <v>2024-4</v>
      </c>
      <c r="O642" t="s">
        <v>55</v>
      </c>
      <c r="P642" t="s">
        <v>88</v>
      </c>
      <c r="Q642">
        <v>1</v>
      </c>
      <c r="AA642">
        <v>32860</v>
      </c>
      <c r="AB642" t="s">
        <v>247</v>
      </c>
      <c r="AD642">
        <f t="shared" ref="AD642:AD705" si="56">COUNTIF(AB:AB,AC642)</f>
        <v>0</v>
      </c>
      <c r="AE642">
        <f t="shared" ref="AE642:AE705" si="57">SUMIF(AB:AB,AC642,AA:AA)</f>
        <v>0</v>
      </c>
      <c r="AG642" t="s">
        <v>55</v>
      </c>
      <c r="AH642" t="s">
        <v>88</v>
      </c>
      <c r="BF642" t="s">
        <v>88</v>
      </c>
      <c r="BG642" t="s">
        <v>55</v>
      </c>
      <c r="BH642">
        <v>1</v>
      </c>
      <c r="BI642" t="s">
        <v>504</v>
      </c>
      <c r="CG642" t="s">
        <v>37</v>
      </c>
      <c r="CH642" t="s">
        <v>247</v>
      </c>
      <c r="CI642">
        <v>32860</v>
      </c>
      <c r="CJ642" t="s">
        <v>503</v>
      </c>
    </row>
    <row r="643" spans="1:88" x14ac:dyDescent="0.25">
      <c r="A643" t="s">
        <v>14</v>
      </c>
      <c r="B643" t="s">
        <v>255</v>
      </c>
      <c r="C643" t="s">
        <v>359</v>
      </c>
      <c r="D643">
        <v>40579</v>
      </c>
      <c r="E643">
        <v>5</v>
      </c>
      <c r="F643" s="24" t="str">
        <f t="shared" ref="F643:F706" si="58">YEAR(C643)&amp;"-"&amp;MONTH(C643)</f>
        <v>2024-4</v>
      </c>
      <c r="O643" t="s">
        <v>10</v>
      </c>
      <c r="P643" t="s">
        <v>18</v>
      </c>
      <c r="Q643">
        <v>7</v>
      </c>
      <c r="AA643">
        <v>40579</v>
      </c>
      <c r="AB643" t="s">
        <v>255</v>
      </c>
      <c r="AD643">
        <f t="shared" si="56"/>
        <v>0</v>
      </c>
      <c r="AE643">
        <f t="shared" si="57"/>
        <v>0</v>
      </c>
      <c r="AG643" t="s">
        <v>10</v>
      </c>
      <c r="AH643" t="s">
        <v>18</v>
      </c>
      <c r="BF643" t="s">
        <v>18</v>
      </c>
      <c r="BG643" t="s">
        <v>10</v>
      </c>
      <c r="BH643">
        <v>7</v>
      </c>
      <c r="BI643" t="s">
        <v>505</v>
      </c>
      <c r="CG643" t="s">
        <v>14</v>
      </c>
      <c r="CH643" t="s">
        <v>255</v>
      </c>
      <c r="CI643">
        <v>40579</v>
      </c>
      <c r="CJ643" t="s">
        <v>503</v>
      </c>
    </row>
    <row r="644" spans="1:88" x14ac:dyDescent="0.25">
      <c r="A644" t="s">
        <v>8</v>
      </c>
      <c r="B644" t="s">
        <v>224</v>
      </c>
      <c r="C644" t="s">
        <v>359</v>
      </c>
      <c r="D644">
        <v>25612</v>
      </c>
      <c r="E644">
        <v>10</v>
      </c>
      <c r="F644" s="24" t="str">
        <f t="shared" si="58"/>
        <v>2024-4</v>
      </c>
      <c r="O644" t="s">
        <v>8</v>
      </c>
      <c r="P644" t="s">
        <v>38</v>
      </c>
      <c r="Q644">
        <v>2</v>
      </c>
      <c r="AA644">
        <v>25612</v>
      </c>
      <c r="AB644" t="s">
        <v>224</v>
      </c>
      <c r="AD644">
        <f t="shared" si="56"/>
        <v>0</v>
      </c>
      <c r="AE644">
        <f t="shared" si="57"/>
        <v>0</v>
      </c>
      <c r="AG644" t="s">
        <v>8</v>
      </c>
      <c r="AH644" t="s">
        <v>38</v>
      </c>
      <c r="BF644" t="s">
        <v>38</v>
      </c>
      <c r="BG644" t="s">
        <v>8</v>
      </c>
      <c r="BH644">
        <v>2</v>
      </c>
      <c r="BI644" t="s">
        <v>505</v>
      </c>
      <c r="CG644" t="s">
        <v>8</v>
      </c>
      <c r="CH644" t="s">
        <v>224</v>
      </c>
      <c r="CI644">
        <v>25612</v>
      </c>
      <c r="CJ644" t="s">
        <v>503</v>
      </c>
    </row>
    <row r="645" spans="1:88" x14ac:dyDescent="0.25">
      <c r="A645" t="s">
        <v>8</v>
      </c>
      <c r="B645" t="s">
        <v>58</v>
      </c>
      <c r="C645" t="s">
        <v>360</v>
      </c>
      <c r="D645">
        <v>50869</v>
      </c>
      <c r="E645">
        <v>5</v>
      </c>
      <c r="F645" s="24" t="str">
        <f t="shared" si="58"/>
        <v>2024-4</v>
      </c>
      <c r="O645" t="s">
        <v>37</v>
      </c>
      <c r="P645" t="s">
        <v>83</v>
      </c>
      <c r="Q645">
        <v>7</v>
      </c>
      <c r="AA645">
        <v>50869</v>
      </c>
      <c r="AB645" t="s">
        <v>58</v>
      </c>
      <c r="AD645">
        <f t="shared" si="56"/>
        <v>0</v>
      </c>
      <c r="AE645">
        <f t="shared" si="57"/>
        <v>0</v>
      </c>
      <c r="AG645" t="s">
        <v>37</v>
      </c>
      <c r="AH645" t="s">
        <v>83</v>
      </c>
      <c r="BF645" t="s">
        <v>83</v>
      </c>
      <c r="BG645" t="s">
        <v>37</v>
      </c>
      <c r="BH645">
        <v>7</v>
      </c>
      <c r="BI645" t="s">
        <v>505</v>
      </c>
      <c r="CG645" t="s">
        <v>8</v>
      </c>
      <c r="CH645" t="s">
        <v>58</v>
      </c>
      <c r="CI645">
        <v>50869</v>
      </c>
      <c r="CJ645" t="s">
        <v>503</v>
      </c>
    </row>
    <row r="646" spans="1:88" x14ac:dyDescent="0.25">
      <c r="A646" t="s">
        <v>10</v>
      </c>
      <c r="B646" t="s">
        <v>361</v>
      </c>
      <c r="C646" t="s">
        <v>360</v>
      </c>
      <c r="D646">
        <v>88287</v>
      </c>
      <c r="E646">
        <v>8</v>
      </c>
      <c r="F646" s="24" t="str">
        <f t="shared" si="58"/>
        <v>2024-4</v>
      </c>
      <c r="O646" t="s">
        <v>53</v>
      </c>
      <c r="P646" t="s">
        <v>63</v>
      </c>
      <c r="Q646">
        <v>8</v>
      </c>
      <c r="AA646">
        <v>88287</v>
      </c>
      <c r="AB646" t="s">
        <v>361</v>
      </c>
      <c r="AD646">
        <f t="shared" si="56"/>
        <v>0</v>
      </c>
      <c r="AE646">
        <f t="shared" si="57"/>
        <v>0</v>
      </c>
      <c r="AG646" t="s">
        <v>53</v>
      </c>
      <c r="AH646" t="s">
        <v>63</v>
      </c>
      <c r="BF646" t="s">
        <v>63</v>
      </c>
      <c r="BG646" t="s">
        <v>53</v>
      </c>
      <c r="BH646">
        <v>8</v>
      </c>
      <c r="BI646" t="s">
        <v>505</v>
      </c>
      <c r="CG646" t="s">
        <v>10</v>
      </c>
      <c r="CH646" t="s">
        <v>361</v>
      </c>
      <c r="CI646">
        <v>88287</v>
      </c>
      <c r="CJ646" t="s">
        <v>503</v>
      </c>
    </row>
    <row r="647" spans="1:88" x14ac:dyDescent="0.25">
      <c r="A647" t="s">
        <v>29</v>
      </c>
      <c r="B647" t="s">
        <v>231</v>
      </c>
      <c r="C647" t="s">
        <v>362</v>
      </c>
      <c r="D647">
        <v>40771</v>
      </c>
      <c r="E647">
        <v>4</v>
      </c>
      <c r="F647" s="24" t="str">
        <f t="shared" si="58"/>
        <v>2024-4</v>
      </c>
      <c r="O647" t="s">
        <v>16</v>
      </c>
      <c r="P647" t="s">
        <v>189</v>
      </c>
      <c r="Q647">
        <v>5</v>
      </c>
      <c r="AA647">
        <v>40771</v>
      </c>
      <c r="AB647" t="s">
        <v>231</v>
      </c>
      <c r="AD647">
        <f t="shared" si="56"/>
        <v>0</v>
      </c>
      <c r="AE647">
        <f t="shared" si="57"/>
        <v>0</v>
      </c>
      <c r="AG647" t="s">
        <v>16</v>
      </c>
      <c r="AH647" t="s">
        <v>189</v>
      </c>
      <c r="BF647" t="s">
        <v>189</v>
      </c>
      <c r="BG647" t="s">
        <v>16</v>
      </c>
      <c r="BH647">
        <v>5</v>
      </c>
      <c r="BI647" t="s">
        <v>505</v>
      </c>
      <c r="CG647" t="s">
        <v>29</v>
      </c>
      <c r="CH647" t="s">
        <v>231</v>
      </c>
      <c r="CI647">
        <v>40771</v>
      </c>
      <c r="CJ647" t="s">
        <v>503</v>
      </c>
    </row>
    <row r="648" spans="1:88" x14ac:dyDescent="0.25">
      <c r="A648" t="s">
        <v>14</v>
      </c>
      <c r="B648" t="s">
        <v>160</v>
      </c>
      <c r="C648" t="s">
        <v>362</v>
      </c>
      <c r="D648">
        <v>96963</v>
      </c>
      <c r="E648">
        <v>9</v>
      </c>
      <c r="F648" s="24" t="str">
        <f t="shared" si="58"/>
        <v>2024-4</v>
      </c>
      <c r="O648" t="s">
        <v>55</v>
      </c>
      <c r="P648" t="s">
        <v>12</v>
      </c>
      <c r="Q648">
        <v>7</v>
      </c>
      <c r="AA648">
        <v>96963</v>
      </c>
      <c r="AB648" t="s">
        <v>160</v>
      </c>
      <c r="AD648">
        <f t="shared" si="56"/>
        <v>0</v>
      </c>
      <c r="AE648">
        <f t="shared" si="57"/>
        <v>0</v>
      </c>
      <c r="AG648" t="s">
        <v>55</v>
      </c>
      <c r="AH648" t="s">
        <v>12</v>
      </c>
      <c r="BF648" t="s">
        <v>12</v>
      </c>
      <c r="BG648" t="s">
        <v>55</v>
      </c>
      <c r="BH648">
        <v>7</v>
      </c>
      <c r="BI648" t="s">
        <v>505</v>
      </c>
      <c r="CG648" t="s">
        <v>14</v>
      </c>
      <c r="CH648" t="s">
        <v>160</v>
      </c>
      <c r="CI648">
        <v>96963</v>
      </c>
      <c r="CJ648" t="s">
        <v>503</v>
      </c>
    </row>
    <row r="649" spans="1:88" x14ac:dyDescent="0.25">
      <c r="A649" t="s">
        <v>10</v>
      </c>
      <c r="B649" t="s">
        <v>9</v>
      </c>
      <c r="C649" t="s">
        <v>362</v>
      </c>
      <c r="D649">
        <v>46017</v>
      </c>
      <c r="E649">
        <v>8</v>
      </c>
      <c r="F649" s="24" t="str">
        <f t="shared" si="58"/>
        <v>2024-4</v>
      </c>
      <c r="O649" t="s">
        <v>53</v>
      </c>
      <c r="P649" t="s">
        <v>347</v>
      </c>
      <c r="Q649">
        <v>6</v>
      </c>
      <c r="AA649">
        <v>46017</v>
      </c>
      <c r="AB649" t="s">
        <v>9</v>
      </c>
      <c r="AD649">
        <f t="shared" si="56"/>
        <v>0</v>
      </c>
      <c r="AE649">
        <f t="shared" si="57"/>
        <v>0</v>
      </c>
      <c r="AG649" t="s">
        <v>53</v>
      </c>
      <c r="AH649" t="s">
        <v>347</v>
      </c>
      <c r="BF649" t="s">
        <v>347</v>
      </c>
      <c r="BG649" t="s">
        <v>53</v>
      </c>
      <c r="BH649">
        <v>6</v>
      </c>
      <c r="BI649" t="s">
        <v>505</v>
      </c>
      <c r="CG649" t="s">
        <v>10</v>
      </c>
      <c r="CH649" t="s">
        <v>9</v>
      </c>
      <c r="CI649">
        <v>46017</v>
      </c>
      <c r="CJ649" t="s">
        <v>503</v>
      </c>
    </row>
    <row r="650" spans="1:88" x14ac:dyDescent="0.25">
      <c r="A650" t="s">
        <v>10</v>
      </c>
      <c r="B650" t="s">
        <v>121</v>
      </c>
      <c r="C650" t="s">
        <v>362</v>
      </c>
      <c r="D650">
        <v>18211</v>
      </c>
      <c r="E650">
        <v>7</v>
      </c>
      <c r="F650" s="24" t="str">
        <f t="shared" si="58"/>
        <v>2024-4</v>
      </c>
      <c r="O650" t="s">
        <v>53</v>
      </c>
      <c r="P650" t="s">
        <v>156</v>
      </c>
      <c r="Q650">
        <v>7</v>
      </c>
      <c r="AA650">
        <v>18211</v>
      </c>
      <c r="AB650" t="s">
        <v>121</v>
      </c>
      <c r="AD650">
        <f t="shared" si="56"/>
        <v>0</v>
      </c>
      <c r="AE650">
        <f t="shared" si="57"/>
        <v>0</v>
      </c>
      <c r="AG650" t="s">
        <v>53</v>
      </c>
      <c r="AH650" t="s">
        <v>156</v>
      </c>
      <c r="BF650" t="s">
        <v>156</v>
      </c>
      <c r="BG650" t="s">
        <v>53</v>
      </c>
      <c r="BH650">
        <v>7</v>
      </c>
      <c r="BI650" t="s">
        <v>505</v>
      </c>
      <c r="CG650" t="s">
        <v>10</v>
      </c>
      <c r="CH650" t="s">
        <v>121</v>
      </c>
      <c r="CI650">
        <v>18211</v>
      </c>
      <c r="CJ650" t="s">
        <v>503</v>
      </c>
    </row>
    <row r="651" spans="1:88" x14ac:dyDescent="0.25">
      <c r="A651" t="s">
        <v>35</v>
      </c>
      <c r="B651" t="s">
        <v>111</v>
      </c>
      <c r="C651" t="s">
        <v>362</v>
      </c>
      <c r="D651">
        <v>23588</v>
      </c>
      <c r="E651">
        <v>8</v>
      </c>
      <c r="F651" s="24" t="str">
        <f t="shared" si="58"/>
        <v>2024-4</v>
      </c>
      <c r="O651" t="s">
        <v>53</v>
      </c>
      <c r="P651" t="s">
        <v>51</v>
      </c>
      <c r="Q651">
        <v>10</v>
      </c>
      <c r="AA651">
        <v>23588</v>
      </c>
      <c r="AB651" t="s">
        <v>111</v>
      </c>
      <c r="AD651">
        <f t="shared" si="56"/>
        <v>0</v>
      </c>
      <c r="AE651">
        <f t="shared" si="57"/>
        <v>0</v>
      </c>
      <c r="AG651" t="s">
        <v>53</v>
      </c>
      <c r="AH651" t="s">
        <v>51</v>
      </c>
      <c r="BF651" t="s">
        <v>51</v>
      </c>
      <c r="BG651" t="s">
        <v>53</v>
      </c>
      <c r="BH651">
        <v>10</v>
      </c>
      <c r="BI651" t="s">
        <v>505</v>
      </c>
      <c r="CG651" t="s">
        <v>35</v>
      </c>
      <c r="CH651" t="s">
        <v>111</v>
      </c>
      <c r="CI651">
        <v>23588</v>
      </c>
      <c r="CJ651" t="s">
        <v>503</v>
      </c>
    </row>
    <row r="652" spans="1:88" x14ac:dyDescent="0.25">
      <c r="A652" t="s">
        <v>14</v>
      </c>
      <c r="B652" t="s">
        <v>247</v>
      </c>
      <c r="C652" t="s">
        <v>362</v>
      </c>
      <c r="D652">
        <v>32959</v>
      </c>
      <c r="E652">
        <v>4</v>
      </c>
      <c r="F652" s="24" t="str">
        <f t="shared" si="58"/>
        <v>2024-4</v>
      </c>
      <c r="O652" t="s">
        <v>5</v>
      </c>
      <c r="P652" t="s">
        <v>45</v>
      </c>
      <c r="Q652">
        <v>5</v>
      </c>
      <c r="AA652">
        <v>32959</v>
      </c>
      <c r="AB652" t="s">
        <v>247</v>
      </c>
      <c r="AD652">
        <f t="shared" si="56"/>
        <v>0</v>
      </c>
      <c r="AE652">
        <f t="shared" si="57"/>
        <v>0</v>
      </c>
      <c r="AG652" t="s">
        <v>5</v>
      </c>
      <c r="AH652" t="s">
        <v>45</v>
      </c>
      <c r="BF652" t="s">
        <v>45</v>
      </c>
      <c r="BG652" t="s">
        <v>5</v>
      </c>
      <c r="BH652">
        <v>5</v>
      </c>
      <c r="BI652" t="s">
        <v>505</v>
      </c>
      <c r="CG652" t="s">
        <v>14</v>
      </c>
      <c r="CH652" t="s">
        <v>247</v>
      </c>
      <c r="CI652">
        <v>32959</v>
      </c>
      <c r="CJ652" t="s">
        <v>503</v>
      </c>
    </row>
    <row r="653" spans="1:88" x14ac:dyDescent="0.25">
      <c r="A653" t="s">
        <v>14</v>
      </c>
      <c r="B653" t="s">
        <v>82</v>
      </c>
      <c r="C653" t="s">
        <v>362</v>
      </c>
      <c r="D653">
        <v>28939</v>
      </c>
      <c r="E653">
        <v>9</v>
      </c>
      <c r="F653" s="24" t="str">
        <f t="shared" si="58"/>
        <v>2024-4</v>
      </c>
      <c r="O653" t="s">
        <v>21</v>
      </c>
      <c r="P653" t="s">
        <v>62</v>
      </c>
      <c r="Q653">
        <v>5</v>
      </c>
      <c r="AA653">
        <v>28939</v>
      </c>
      <c r="AB653" t="s">
        <v>82</v>
      </c>
      <c r="AD653">
        <f t="shared" si="56"/>
        <v>0</v>
      </c>
      <c r="AE653">
        <f t="shared" si="57"/>
        <v>0</v>
      </c>
      <c r="AG653" t="s">
        <v>21</v>
      </c>
      <c r="AH653" t="s">
        <v>62</v>
      </c>
      <c r="BF653" t="s">
        <v>62</v>
      </c>
      <c r="BG653" t="s">
        <v>21</v>
      </c>
      <c r="BH653">
        <v>5</v>
      </c>
      <c r="BI653" t="s">
        <v>505</v>
      </c>
      <c r="CG653" t="s">
        <v>14</v>
      </c>
      <c r="CH653" t="s">
        <v>82</v>
      </c>
      <c r="CI653">
        <v>28939</v>
      </c>
      <c r="CJ653" t="s">
        <v>503</v>
      </c>
    </row>
    <row r="654" spans="1:88" x14ac:dyDescent="0.25">
      <c r="A654" t="s">
        <v>10</v>
      </c>
      <c r="B654" t="s">
        <v>214</v>
      </c>
      <c r="C654" t="s">
        <v>363</v>
      </c>
      <c r="D654">
        <v>35359</v>
      </c>
      <c r="E654">
        <v>5</v>
      </c>
      <c r="F654" s="24" t="str">
        <f t="shared" si="58"/>
        <v>2024-4</v>
      </c>
      <c r="O654" t="s">
        <v>75</v>
      </c>
      <c r="P654" t="s">
        <v>111</v>
      </c>
      <c r="Q654">
        <v>4</v>
      </c>
      <c r="AA654">
        <v>35359</v>
      </c>
      <c r="AB654" t="s">
        <v>214</v>
      </c>
      <c r="AD654">
        <f t="shared" si="56"/>
        <v>0</v>
      </c>
      <c r="AE654">
        <f t="shared" si="57"/>
        <v>0</v>
      </c>
      <c r="AG654" t="s">
        <v>75</v>
      </c>
      <c r="AH654" t="s">
        <v>111</v>
      </c>
      <c r="BF654" t="s">
        <v>111</v>
      </c>
      <c r="BG654" t="s">
        <v>75</v>
      </c>
      <c r="BH654">
        <v>4</v>
      </c>
      <c r="BI654" t="s">
        <v>505</v>
      </c>
      <c r="CG654" t="s">
        <v>10</v>
      </c>
      <c r="CH654" t="s">
        <v>214</v>
      </c>
      <c r="CI654">
        <v>35359</v>
      </c>
      <c r="CJ654" t="s">
        <v>503</v>
      </c>
    </row>
    <row r="655" spans="1:88" x14ac:dyDescent="0.25">
      <c r="A655" t="s">
        <v>53</v>
      </c>
      <c r="B655" t="s">
        <v>33</v>
      </c>
      <c r="C655" t="s">
        <v>364</v>
      </c>
      <c r="D655">
        <v>30478</v>
      </c>
      <c r="E655">
        <v>8</v>
      </c>
      <c r="F655" s="24" t="str">
        <f t="shared" si="58"/>
        <v>2024-4</v>
      </c>
      <c r="O655" t="s">
        <v>53</v>
      </c>
      <c r="P655" t="s">
        <v>213</v>
      </c>
      <c r="Q655">
        <v>8</v>
      </c>
      <c r="AA655">
        <v>30478</v>
      </c>
      <c r="AB655" t="s">
        <v>33</v>
      </c>
      <c r="AD655">
        <f t="shared" si="56"/>
        <v>0</v>
      </c>
      <c r="AE655">
        <f t="shared" si="57"/>
        <v>0</v>
      </c>
      <c r="AG655" t="s">
        <v>53</v>
      </c>
      <c r="AH655" t="s">
        <v>213</v>
      </c>
      <c r="BF655" t="s">
        <v>213</v>
      </c>
      <c r="BG655" t="s">
        <v>53</v>
      </c>
      <c r="BH655">
        <v>8</v>
      </c>
      <c r="BI655" t="s">
        <v>505</v>
      </c>
      <c r="CG655" t="s">
        <v>53</v>
      </c>
      <c r="CH655" t="s">
        <v>33</v>
      </c>
      <c r="CI655">
        <v>30478</v>
      </c>
      <c r="CJ655" t="s">
        <v>503</v>
      </c>
    </row>
    <row r="656" spans="1:88" x14ac:dyDescent="0.25">
      <c r="A656" t="s">
        <v>8</v>
      </c>
      <c r="B656" t="s">
        <v>113</v>
      </c>
      <c r="C656" t="s">
        <v>364</v>
      </c>
      <c r="D656">
        <v>85413</v>
      </c>
      <c r="E656">
        <v>9</v>
      </c>
      <c r="F656" s="24" t="str">
        <f t="shared" si="58"/>
        <v>2024-4</v>
      </c>
      <c r="O656" t="s">
        <v>35</v>
      </c>
      <c r="P656" t="s">
        <v>163</v>
      </c>
      <c r="Q656">
        <v>7</v>
      </c>
      <c r="AA656">
        <v>85413</v>
      </c>
      <c r="AB656" t="s">
        <v>113</v>
      </c>
      <c r="AD656">
        <f t="shared" si="56"/>
        <v>0</v>
      </c>
      <c r="AE656">
        <f t="shared" si="57"/>
        <v>0</v>
      </c>
      <c r="AG656" t="s">
        <v>35</v>
      </c>
      <c r="AH656" t="s">
        <v>163</v>
      </c>
      <c r="BF656" t="s">
        <v>163</v>
      </c>
      <c r="BG656" t="s">
        <v>35</v>
      </c>
      <c r="BH656">
        <v>7</v>
      </c>
      <c r="BI656" t="s">
        <v>505</v>
      </c>
      <c r="CG656" t="s">
        <v>8</v>
      </c>
      <c r="CH656" t="s">
        <v>113</v>
      </c>
      <c r="CI656">
        <v>85413</v>
      </c>
      <c r="CJ656" t="s">
        <v>503</v>
      </c>
    </row>
    <row r="657" spans="1:88" x14ac:dyDescent="0.25">
      <c r="A657" t="s">
        <v>5</v>
      </c>
      <c r="B657" t="s">
        <v>301</v>
      </c>
      <c r="C657" t="s">
        <v>364</v>
      </c>
      <c r="D657">
        <v>96880</v>
      </c>
      <c r="E657">
        <v>7</v>
      </c>
      <c r="F657" s="24" t="str">
        <f t="shared" si="58"/>
        <v>2024-4</v>
      </c>
      <c r="O657" t="s">
        <v>75</v>
      </c>
      <c r="P657" t="s">
        <v>321</v>
      </c>
      <c r="Q657">
        <v>6</v>
      </c>
      <c r="AA657">
        <v>96880</v>
      </c>
      <c r="AB657" t="s">
        <v>301</v>
      </c>
      <c r="AD657">
        <f t="shared" si="56"/>
        <v>0</v>
      </c>
      <c r="AE657">
        <f t="shared" si="57"/>
        <v>0</v>
      </c>
      <c r="AG657" t="s">
        <v>75</v>
      </c>
      <c r="AH657" t="s">
        <v>321</v>
      </c>
      <c r="BF657" t="s">
        <v>321</v>
      </c>
      <c r="BG657" t="s">
        <v>75</v>
      </c>
      <c r="BH657">
        <v>6</v>
      </c>
      <c r="BI657" t="s">
        <v>505</v>
      </c>
      <c r="CG657" t="s">
        <v>5</v>
      </c>
      <c r="CH657" t="s">
        <v>301</v>
      </c>
      <c r="CI657">
        <v>96880</v>
      </c>
      <c r="CJ657" t="s">
        <v>503</v>
      </c>
    </row>
    <row r="658" spans="1:88" x14ac:dyDescent="0.25">
      <c r="A658" t="s">
        <v>10</v>
      </c>
      <c r="B658" t="s">
        <v>111</v>
      </c>
      <c r="C658" t="s">
        <v>364</v>
      </c>
      <c r="D658">
        <v>92009</v>
      </c>
      <c r="E658">
        <v>7</v>
      </c>
      <c r="F658" s="24" t="str">
        <f t="shared" si="58"/>
        <v>2024-4</v>
      </c>
      <c r="O658" t="s">
        <v>21</v>
      </c>
      <c r="P658" t="s">
        <v>17</v>
      </c>
      <c r="Q658">
        <v>9</v>
      </c>
      <c r="AA658">
        <v>92009</v>
      </c>
      <c r="AB658" t="s">
        <v>111</v>
      </c>
      <c r="AD658">
        <f t="shared" si="56"/>
        <v>0</v>
      </c>
      <c r="AE658">
        <f t="shared" si="57"/>
        <v>0</v>
      </c>
      <c r="AG658" t="s">
        <v>21</v>
      </c>
      <c r="AH658" t="s">
        <v>17</v>
      </c>
      <c r="BF658" t="s">
        <v>17</v>
      </c>
      <c r="BG658" t="s">
        <v>21</v>
      </c>
      <c r="BH658">
        <v>9</v>
      </c>
      <c r="BI658" t="s">
        <v>505</v>
      </c>
      <c r="CG658" t="s">
        <v>10</v>
      </c>
      <c r="CH658" t="s">
        <v>111</v>
      </c>
      <c r="CI658">
        <v>92009</v>
      </c>
      <c r="CJ658" t="s">
        <v>503</v>
      </c>
    </row>
    <row r="659" spans="1:88" x14ac:dyDescent="0.25">
      <c r="A659" t="s">
        <v>21</v>
      </c>
      <c r="B659" t="s">
        <v>211</v>
      </c>
      <c r="C659" t="s">
        <v>364</v>
      </c>
      <c r="D659">
        <v>95619</v>
      </c>
      <c r="E659">
        <v>8</v>
      </c>
      <c r="F659" s="24" t="str">
        <f t="shared" si="58"/>
        <v>2024-4</v>
      </c>
      <c r="O659" t="s">
        <v>14</v>
      </c>
      <c r="P659" t="s">
        <v>119</v>
      </c>
      <c r="Q659">
        <v>4</v>
      </c>
      <c r="AA659">
        <v>95619</v>
      </c>
      <c r="AB659" t="s">
        <v>211</v>
      </c>
      <c r="AD659">
        <f t="shared" si="56"/>
        <v>0</v>
      </c>
      <c r="AE659">
        <f t="shared" si="57"/>
        <v>0</v>
      </c>
      <c r="AG659" t="s">
        <v>14</v>
      </c>
      <c r="AH659" t="s">
        <v>119</v>
      </c>
      <c r="BF659" t="s">
        <v>119</v>
      </c>
      <c r="BG659" t="s">
        <v>14</v>
      </c>
      <c r="BH659">
        <v>4</v>
      </c>
      <c r="BI659" t="s">
        <v>505</v>
      </c>
      <c r="CG659" t="s">
        <v>21</v>
      </c>
      <c r="CH659" t="s">
        <v>211</v>
      </c>
      <c r="CI659">
        <v>95619</v>
      </c>
      <c r="CJ659" t="s">
        <v>503</v>
      </c>
    </row>
    <row r="660" spans="1:88" x14ac:dyDescent="0.25">
      <c r="A660" t="s">
        <v>14</v>
      </c>
      <c r="B660" t="s">
        <v>179</v>
      </c>
      <c r="C660" t="s">
        <v>364</v>
      </c>
      <c r="D660">
        <v>19923</v>
      </c>
      <c r="E660">
        <v>9</v>
      </c>
      <c r="F660" s="24" t="str">
        <f t="shared" si="58"/>
        <v>2024-4</v>
      </c>
      <c r="O660" t="s">
        <v>37</v>
      </c>
      <c r="P660" t="s">
        <v>100</v>
      </c>
      <c r="Q660">
        <v>5</v>
      </c>
      <c r="AA660">
        <v>19923</v>
      </c>
      <c r="AB660" t="s">
        <v>179</v>
      </c>
      <c r="AD660">
        <f t="shared" si="56"/>
        <v>0</v>
      </c>
      <c r="AE660">
        <f t="shared" si="57"/>
        <v>0</v>
      </c>
      <c r="AG660" t="s">
        <v>37</v>
      </c>
      <c r="AH660" t="s">
        <v>100</v>
      </c>
      <c r="BF660" t="s">
        <v>100</v>
      </c>
      <c r="BG660" t="s">
        <v>37</v>
      </c>
      <c r="BH660">
        <v>5</v>
      </c>
      <c r="BI660" t="s">
        <v>505</v>
      </c>
      <c r="CG660" t="s">
        <v>14</v>
      </c>
      <c r="CH660" t="s">
        <v>179</v>
      </c>
      <c r="CI660">
        <v>19923</v>
      </c>
      <c r="CJ660" t="s">
        <v>503</v>
      </c>
    </row>
    <row r="661" spans="1:88" x14ac:dyDescent="0.25">
      <c r="A661" t="s">
        <v>55</v>
      </c>
      <c r="B661" t="s">
        <v>62</v>
      </c>
      <c r="C661" t="s">
        <v>364</v>
      </c>
      <c r="D661">
        <v>81588</v>
      </c>
      <c r="E661">
        <v>3</v>
      </c>
      <c r="F661" s="24" t="str">
        <f t="shared" si="58"/>
        <v>2024-4</v>
      </c>
      <c r="O661" t="s">
        <v>53</v>
      </c>
      <c r="P661" t="s">
        <v>81</v>
      </c>
      <c r="Q661">
        <v>6</v>
      </c>
      <c r="AA661">
        <v>81588</v>
      </c>
      <c r="AB661" t="s">
        <v>62</v>
      </c>
      <c r="AD661">
        <f t="shared" si="56"/>
        <v>0</v>
      </c>
      <c r="AE661">
        <f t="shared" si="57"/>
        <v>0</v>
      </c>
      <c r="AG661" t="s">
        <v>53</v>
      </c>
      <c r="AH661" t="s">
        <v>81</v>
      </c>
      <c r="BF661" t="s">
        <v>81</v>
      </c>
      <c r="BG661" t="s">
        <v>53</v>
      </c>
      <c r="BH661">
        <v>6</v>
      </c>
      <c r="BI661" t="s">
        <v>505</v>
      </c>
      <c r="CG661" t="s">
        <v>55</v>
      </c>
      <c r="CH661" t="s">
        <v>62</v>
      </c>
      <c r="CI661">
        <v>81588</v>
      </c>
      <c r="CJ661" t="s">
        <v>503</v>
      </c>
    </row>
    <row r="662" spans="1:88" x14ac:dyDescent="0.25">
      <c r="A662" t="s">
        <v>53</v>
      </c>
      <c r="B662" t="s">
        <v>300</v>
      </c>
      <c r="C662" t="s">
        <v>364</v>
      </c>
      <c r="D662">
        <v>68936</v>
      </c>
      <c r="E662">
        <v>8</v>
      </c>
      <c r="F662" s="24" t="str">
        <f t="shared" si="58"/>
        <v>2024-4</v>
      </c>
      <c r="O662" t="s">
        <v>8</v>
      </c>
      <c r="P662" t="s">
        <v>20</v>
      </c>
      <c r="Q662">
        <v>9</v>
      </c>
      <c r="AA662">
        <v>68936</v>
      </c>
      <c r="AB662" t="s">
        <v>300</v>
      </c>
      <c r="AD662">
        <f t="shared" si="56"/>
        <v>0</v>
      </c>
      <c r="AE662">
        <f t="shared" si="57"/>
        <v>0</v>
      </c>
      <c r="AG662" t="s">
        <v>8</v>
      </c>
      <c r="AH662" t="s">
        <v>20</v>
      </c>
      <c r="BF662" t="s">
        <v>20</v>
      </c>
      <c r="BG662" t="s">
        <v>8</v>
      </c>
      <c r="BH662">
        <v>9</v>
      </c>
      <c r="BI662" t="s">
        <v>505</v>
      </c>
      <c r="CG662" t="s">
        <v>53</v>
      </c>
      <c r="CH662" t="s">
        <v>300</v>
      </c>
      <c r="CI662">
        <v>68936</v>
      </c>
      <c r="CJ662" t="s">
        <v>503</v>
      </c>
    </row>
    <row r="663" spans="1:88" x14ac:dyDescent="0.25">
      <c r="A663" t="s">
        <v>29</v>
      </c>
      <c r="B663" t="s">
        <v>177</v>
      </c>
      <c r="C663" t="s">
        <v>364</v>
      </c>
      <c r="D663">
        <v>35270</v>
      </c>
      <c r="E663">
        <v>3</v>
      </c>
      <c r="F663" s="24" t="str">
        <f t="shared" si="58"/>
        <v>2024-4</v>
      </c>
      <c r="O663" t="s">
        <v>29</v>
      </c>
      <c r="P663" t="s">
        <v>58</v>
      </c>
      <c r="Q663">
        <v>4</v>
      </c>
      <c r="AA663">
        <v>35270</v>
      </c>
      <c r="AB663" t="s">
        <v>177</v>
      </c>
      <c r="AD663">
        <f t="shared" si="56"/>
        <v>0</v>
      </c>
      <c r="AE663">
        <f t="shared" si="57"/>
        <v>0</v>
      </c>
      <c r="AG663" t="s">
        <v>29</v>
      </c>
      <c r="AH663" t="s">
        <v>58</v>
      </c>
      <c r="BF663" t="s">
        <v>58</v>
      </c>
      <c r="BG663" t="s">
        <v>29</v>
      </c>
      <c r="BH663">
        <v>4</v>
      </c>
      <c r="BI663" t="s">
        <v>505</v>
      </c>
      <c r="CG663" t="s">
        <v>29</v>
      </c>
      <c r="CH663" t="s">
        <v>177</v>
      </c>
      <c r="CI663">
        <v>35270</v>
      </c>
      <c r="CJ663" t="s">
        <v>503</v>
      </c>
    </row>
    <row r="664" spans="1:88" x14ac:dyDescent="0.25">
      <c r="A664" t="s">
        <v>53</v>
      </c>
      <c r="B664" t="s">
        <v>118</v>
      </c>
      <c r="C664" t="s">
        <v>365</v>
      </c>
      <c r="D664">
        <v>48634</v>
      </c>
      <c r="E664">
        <v>6</v>
      </c>
      <c r="F664" s="24" t="str">
        <f t="shared" si="58"/>
        <v>2024-4</v>
      </c>
      <c r="O664" t="s">
        <v>8</v>
      </c>
      <c r="P664" t="s">
        <v>139</v>
      </c>
      <c r="Q664">
        <v>5</v>
      </c>
      <c r="AA664">
        <v>48634</v>
      </c>
      <c r="AB664" t="s">
        <v>118</v>
      </c>
      <c r="AD664">
        <f t="shared" si="56"/>
        <v>0</v>
      </c>
      <c r="AE664">
        <f t="shared" si="57"/>
        <v>0</v>
      </c>
      <c r="AG664" t="s">
        <v>8</v>
      </c>
      <c r="AH664" t="s">
        <v>139</v>
      </c>
      <c r="BF664" t="s">
        <v>139</v>
      </c>
      <c r="BG664" t="s">
        <v>8</v>
      </c>
      <c r="BH664">
        <v>5</v>
      </c>
      <c r="BI664" t="s">
        <v>505</v>
      </c>
      <c r="CG664" t="s">
        <v>53</v>
      </c>
      <c r="CH664" t="s">
        <v>118</v>
      </c>
      <c r="CI664">
        <v>48634</v>
      </c>
      <c r="CJ664" t="s">
        <v>503</v>
      </c>
    </row>
    <row r="665" spans="1:88" x14ac:dyDescent="0.25">
      <c r="A665" t="s">
        <v>37</v>
      </c>
      <c r="B665" t="s">
        <v>179</v>
      </c>
      <c r="C665" t="s">
        <v>365</v>
      </c>
      <c r="D665">
        <v>61825</v>
      </c>
      <c r="E665">
        <v>8</v>
      </c>
      <c r="F665" s="24" t="str">
        <f t="shared" si="58"/>
        <v>2024-4</v>
      </c>
      <c r="O665" t="s">
        <v>75</v>
      </c>
      <c r="P665" t="s">
        <v>239</v>
      </c>
      <c r="Q665">
        <v>9</v>
      </c>
      <c r="AA665">
        <v>61825</v>
      </c>
      <c r="AB665" t="s">
        <v>179</v>
      </c>
      <c r="AD665">
        <f t="shared" si="56"/>
        <v>0</v>
      </c>
      <c r="AE665">
        <f t="shared" si="57"/>
        <v>0</v>
      </c>
      <c r="AG665" t="s">
        <v>75</v>
      </c>
      <c r="AH665" t="s">
        <v>239</v>
      </c>
      <c r="BF665" t="s">
        <v>239</v>
      </c>
      <c r="BG665" t="s">
        <v>75</v>
      </c>
      <c r="BH665">
        <v>9</v>
      </c>
      <c r="BI665" t="s">
        <v>505</v>
      </c>
      <c r="CG665" t="s">
        <v>37</v>
      </c>
      <c r="CH665" t="s">
        <v>179</v>
      </c>
      <c r="CI665">
        <v>61825</v>
      </c>
      <c r="CJ665" t="s">
        <v>503</v>
      </c>
    </row>
    <row r="666" spans="1:88" x14ac:dyDescent="0.25">
      <c r="A666" t="s">
        <v>37</v>
      </c>
      <c r="B666" t="s">
        <v>229</v>
      </c>
      <c r="C666" t="s">
        <v>365</v>
      </c>
      <c r="D666">
        <v>86906</v>
      </c>
      <c r="E666">
        <v>7</v>
      </c>
      <c r="F666" s="24" t="str">
        <f t="shared" si="58"/>
        <v>2024-4</v>
      </c>
      <c r="O666" t="s">
        <v>14</v>
      </c>
      <c r="P666" t="s">
        <v>81</v>
      </c>
      <c r="Q666">
        <v>6</v>
      </c>
      <c r="AA666">
        <v>86906</v>
      </c>
      <c r="AB666" t="s">
        <v>229</v>
      </c>
      <c r="AD666">
        <f t="shared" si="56"/>
        <v>0</v>
      </c>
      <c r="AE666">
        <f t="shared" si="57"/>
        <v>0</v>
      </c>
      <c r="AG666" t="s">
        <v>14</v>
      </c>
      <c r="AH666" t="s">
        <v>81</v>
      </c>
      <c r="BF666" t="s">
        <v>81</v>
      </c>
      <c r="BG666" t="s">
        <v>14</v>
      </c>
      <c r="BH666">
        <v>6</v>
      </c>
      <c r="BI666" t="s">
        <v>505</v>
      </c>
      <c r="CG666" t="s">
        <v>37</v>
      </c>
      <c r="CH666" t="s">
        <v>229</v>
      </c>
      <c r="CI666">
        <v>86906</v>
      </c>
      <c r="CJ666" t="s">
        <v>503</v>
      </c>
    </row>
    <row r="667" spans="1:88" x14ac:dyDescent="0.25">
      <c r="A667" t="s">
        <v>55</v>
      </c>
      <c r="B667" t="s">
        <v>152</v>
      </c>
      <c r="C667" t="s">
        <v>366</v>
      </c>
      <c r="D667">
        <v>24406</v>
      </c>
      <c r="E667">
        <v>5</v>
      </c>
      <c r="F667" s="24" t="str">
        <f t="shared" si="58"/>
        <v>2024-4</v>
      </c>
      <c r="O667" t="s">
        <v>29</v>
      </c>
      <c r="P667" t="s">
        <v>76</v>
      </c>
      <c r="Q667">
        <v>4</v>
      </c>
      <c r="AA667">
        <v>24406</v>
      </c>
      <c r="AB667" t="s">
        <v>152</v>
      </c>
      <c r="AD667">
        <f t="shared" si="56"/>
        <v>0</v>
      </c>
      <c r="AE667">
        <f t="shared" si="57"/>
        <v>0</v>
      </c>
      <c r="AG667" t="s">
        <v>29</v>
      </c>
      <c r="AH667" t="s">
        <v>76</v>
      </c>
      <c r="BF667" t="s">
        <v>76</v>
      </c>
      <c r="BG667" t="s">
        <v>29</v>
      </c>
      <c r="BH667">
        <v>4</v>
      </c>
      <c r="BI667" t="s">
        <v>505</v>
      </c>
      <c r="CG667" t="s">
        <v>55</v>
      </c>
      <c r="CH667" t="s">
        <v>152</v>
      </c>
      <c r="CI667">
        <v>24406</v>
      </c>
      <c r="CJ667" t="s">
        <v>503</v>
      </c>
    </row>
    <row r="668" spans="1:88" x14ac:dyDescent="0.25">
      <c r="A668" t="s">
        <v>8</v>
      </c>
      <c r="B668" t="s">
        <v>26</v>
      </c>
      <c r="C668" t="s">
        <v>366</v>
      </c>
      <c r="D668">
        <v>81766</v>
      </c>
      <c r="E668">
        <v>7</v>
      </c>
      <c r="F668" s="24" t="str">
        <f t="shared" si="58"/>
        <v>2024-4</v>
      </c>
      <c r="O668" t="s">
        <v>8</v>
      </c>
      <c r="P668" t="s">
        <v>405</v>
      </c>
      <c r="Q668">
        <v>3</v>
      </c>
      <c r="AA668">
        <v>81766</v>
      </c>
      <c r="AB668" t="s">
        <v>26</v>
      </c>
      <c r="AD668">
        <f t="shared" si="56"/>
        <v>0</v>
      </c>
      <c r="AE668">
        <f t="shared" si="57"/>
        <v>0</v>
      </c>
      <c r="AG668" t="s">
        <v>8</v>
      </c>
      <c r="AH668" t="s">
        <v>405</v>
      </c>
      <c r="BF668" t="s">
        <v>405</v>
      </c>
      <c r="BG668" t="s">
        <v>8</v>
      </c>
      <c r="BH668">
        <v>3</v>
      </c>
      <c r="BI668" t="s">
        <v>505</v>
      </c>
      <c r="CG668" t="s">
        <v>8</v>
      </c>
      <c r="CH668" t="s">
        <v>26</v>
      </c>
      <c r="CI668">
        <v>81766</v>
      </c>
      <c r="CJ668" t="s">
        <v>503</v>
      </c>
    </row>
    <row r="669" spans="1:88" x14ac:dyDescent="0.25">
      <c r="A669" t="s">
        <v>21</v>
      </c>
      <c r="B669" t="s">
        <v>234</v>
      </c>
      <c r="C669" t="s">
        <v>366</v>
      </c>
      <c r="D669">
        <v>88850</v>
      </c>
      <c r="E669">
        <v>3</v>
      </c>
      <c r="F669" s="24" t="str">
        <f t="shared" si="58"/>
        <v>2024-4</v>
      </c>
      <c r="O669" t="s">
        <v>75</v>
      </c>
      <c r="P669" t="s">
        <v>36</v>
      </c>
      <c r="Q669">
        <v>5</v>
      </c>
      <c r="AA669">
        <v>88850</v>
      </c>
      <c r="AB669" t="s">
        <v>234</v>
      </c>
      <c r="AD669">
        <f t="shared" si="56"/>
        <v>0</v>
      </c>
      <c r="AE669">
        <f t="shared" si="57"/>
        <v>0</v>
      </c>
      <c r="AG669" t="s">
        <v>75</v>
      </c>
      <c r="AH669" t="s">
        <v>36</v>
      </c>
      <c r="BF669" t="s">
        <v>36</v>
      </c>
      <c r="BG669" t="s">
        <v>75</v>
      </c>
      <c r="BH669">
        <v>5</v>
      </c>
      <c r="BI669" t="s">
        <v>505</v>
      </c>
      <c r="CG669" t="s">
        <v>21</v>
      </c>
      <c r="CH669" t="s">
        <v>234</v>
      </c>
      <c r="CI669">
        <v>88850</v>
      </c>
      <c r="CJ669" t="s">
        <v>503</v>
      </c>
    </row>
    <row r="670" spans="1:88" x14ac:dyDescent="0.25">
      <c r="A670" t="s">
        <v>21</v>
      </c>
      <c r="B670" t="s">
        <v>137</v>
      </c>
      <c r="C670" t="s">
        <v>366</v>
      </c>
      <c r="D670">
        <v>32132</v>
      </c>
      <c r="E670">
        <v>8</v>
      </c>
      <c r="F670" s="24" t="str">
        <f t="shared" si="58"/>
        <v>2024-4</v>
      </c>
      <c r="O670" t="s">
        <v>37</v>
      </c>
      <c r="P670" t="s">
        <v>6</v>
      </c>
      <c r="Q670">
        <v>5</v>
      </c>
      <c r="AA670">
        <v>32132</v>
      </c>
      <c r="AB670" t="s">
        <v>137</v>
      </c>
      <c r="AD670">
        <f t="shared" si="56"/>
        <v>0</v>
      </c>
      <c r="AE670">
        <f t="shared" si="57"/>
        <v>0</v>
      </c>
      <c r="AG670" t="s">
        <v>37</v>
      </c>
      <c r="AH670" t="s">
        <v>6</v>
      </c>
      <c r="BF670" t="s">
        <v>6</v>
      </c>
      <c r="BG670" t="s">
        <v>37</v>
      </c>
      <c r="BH670">
        <v>5</v>
      </c>
      <c r="BI670" t="s">
        <v>505</v>
      </c>
      <c r="CG670" t="s">
        <v>21</v>
      </c>
      <c r="CH670" t="s">
        <v>137</v>
      </c>
      <c r="CI670">
        <v>32132</v>
      </c>
      <c r="CJ670" t="s">
        <v>503</v>
      </c>
    </row>
    <row r="671" spans="1:88" x14ac:dyDescent="0.25">
      <c r="A671" t="s">
        <v>75</v>
      </c>
      <c r="B671" t="s">
        <v>295</v>
      </c>
      <c r="C671" t="s">
        <v>367</v>
      </c>
      <c r="D671">
        <v>15331</v>
      </c>
      <c r="E671">
        <v>6</v>
      </c>
      <c r="F671" s="24" t="str">
        <f t="shared" si="58"/>
        <v>2024-4</v>
      </c>
      <c r="O671" t="s">
        <v>10</v>
      </c>
      <c r="P671" t="s">
        <v>143</v>
      </c>
      <c r="Q671">
        <v>7</v>
      </c>
      <c r="AA671">
        <v>15331</v>
      </c>
      <c r="AB671" t="s">
        <v>295</v>
      </c>
      <c r="AD671">
        <f t="shared" si="56"/>
        <v>0</v>
      </c>
      <c r="AE671">
        <f t="shared" si="57"/>
        <v>0</v>
      </c>
      <c r="AG671" t="s">
        <v>10</v>
      </c>
      <c r="AH671" t="s">
        <v>143</v>
      </c>
      <c r="BF671" t="s">
        <v>143</v>
      </c>
      <c r="BG671" t="s">
        <v>10</v>
      </c>
      <c r="BH671">
        <v>7</v>
      </c>
      <c r="BI671" t="s">
        <v>505</v>
      </c>
      <c r="CG671" t="s">
        <v>75</v>
      </c>
      <c r="CH671" t="s">
        <v>295</v>
      </c>
      <c r="CI671">
        <v>15331</v>
      </c>
      <c r="CJ671" t="s">
        <v>503</v>
      </c>
    </row>
    <row r="672" spans="1:88" x14ac:dyDescent="0.25">
      <c r="A672" t="s">
        <v>5</v>
      </c>
      <c r="B672" t="s">
        <v>192</v>
      </c>
      <c r="C672" t="s">
        <v>367</v>
      </c>
      <c r="D672">
        <v>74764</v>
      </c>
      <c r="E672">
        <v>3</v>
      </c>
      <c r="F672" s="24" t="str">
        <f t="shared" si="58"/>
        <v>2024-4</v>
      </c>
      <c r="O672" t="s">
        <v>21</v>
      </c>
      <c r="P672" t="s">
        <v>115</v>
      </c>
      <c r="Q672">
        <v>8</v>
      </c>
      <c r="AA672">
        <v>74764</v>
      </c>
      <c r="AB672" t="s">
        <v>192</v>
      </c>
      <c r="AD672">
        <f t="shared" si="56"/>
        <v>0</v>
      </c>
      <c r="AE672">
        <f t="shared" si="57"/>
        <v>0</v>
      </c>
      <c r="AG672" t="s">
        <v>21</v>
      </c>
      <c r="AH672" t="s">
        <v>115</v>
      </c>
      <c r="BF672" t="s">
        <v>115</v>
      </c>
      <c r="BG672" t="s">
        <v>21</v>
      </c>
      <c r="BH672">
        <v>8</v>
      </c>
      <c r="BI672" t="s">
        <v>505</v>
      </c>
      <c r="CG672" t="s">
        <v>5</v>
      </c>
      <c r="CH672" t="s">
        <v>192</v>
      </c>
      <c r="CI672">
        <v>74764</v>
      </c>
      <c r="CJ672" t="s">
        <v>503</v>
      </c>
    </row>
    <row r="673" spans="1:88" x14ac:dyDescent="0.25">
      <c r="A673" t="s">
        <v>29</v>
      </c>
      <c r="B673" t="s">
        <v>81</v>
      </c>
      <c r="C673" t="s">
        <v>367</v>
      </c>
      <c r="D673">
        <v>31970</v>
      </c>
      <c r="E673">
        <v>7</v>
      </c>
      <c r="F673" s="24" t="str">
        <f t="shared" si="58"/>
        <v>2024-4</v>
      </c>
      <c r="O673" t="s">
        <v>21</v>
      </c>
      <c r="P673" t="s">
        <v>321</v>
      </c>
      <c r="Q673">
        <v>6</v>
      </c>
      <c r="AA673">
        <v>31970</v>
      </c>
      <c r="AB673" t="s">
        <v>81</v>
      </c>
      <c r="AD673">
        <f t="shared" si="56"/>
        <v>0</v>
      </c>
      <c r="AE673">
        <f t="shared" si="57"/>
        <v>0</v>
      </c>
      <c r="AG673" t="s">
        <v>21</v>
      </c>
      <c r="AH673" t="s">
        <v>321</v>
      </c>
      <c r="BF673" t="s">
        <v>321</v>
      </c>
      <c r="BG673" t="s">
        <v>21</v>
      </c>
      <c r="BH673">
        <v>6</v>
      </c>
      <c r="BI673" t="s">
        <v>505</v>
      </c>
      <c r="CG673" t="s">
        <v>29</v>
      </c>
      <c r="CH673" t="s">
        <v>81</v>
      </c>
      <c r="CI673">
        <v>31970</v>
      </c>
      <c r="CJ673" t="s">
        <v>503</v>
      </c>
    </row>
    <row r="674" spans="1:88" x14ac:dyDescent="0.25">
      <c r="A674" t="s">
        <v>14</v>
      </c>
      <c r="B674" t="s">
        <v>209</v>
      </c>
      <c r="C674" t="s">
        <v>368</v>
      </c>
      <c r="D674">
        <v>44534</v>
      </c>
      <c r="E674">
        <v>8</v>
      </c>
      <c r="F674" s="24" t="str">
        <f t="shared" si="58"/>
        <v>2024-4</v>
      </c>
      <c r="O674" t="s">
        <v>55</v>
      </c>
      <c r="P674" t="s">
        <v>227</v>
      </c>
      <c r="Q674">
        <v>3</v>
      </c>
      <c r="AA674">
        <v>44534</v>
      </c>
      <c r="AB674" t="s">
        <v>209</v>
      </c>
      <c r="AD674">
        <f t="shared" si="56"/>
        <v>0</v>
      </c>
      <c r="AE674">
        <f t="shared" si="57"/>
        <v>0</v>
      </c>
      <c r="AG674" t="s">
        <v>55</v>
      </c>
      <c r="AH674" t="s">
        <v>227</v>
      </c>
      <c r="BF674" t="s">
        <v>227</v>
      </c>
      <c r="BG674" t="s">
        <v>55</v>
      </c>
      <c r="BH674">
        <v>3</v>
      </c>
      <c r="BI674" t="s">
        <v>505</v>
      </c>
      <c r="CG674" t="s">
        <v>14</v>
      </c>
      <c r="CH674" t="s">
        <v>209</v>
      </c>
      <c r="CI674">
        <v>44534</v>
      </c>
      <c r="CJ674" t="s">
        <v>503</v>
      </c>
    </row>
    <row r="675" spans="1:88" x14ac:dyDescent="0.25">
      <c r="A675" t="s">
        <v>14</v>
      </c>
      <c r="B675" t="s">
        <v>295</v>
      </c>
      <c r="C675" t="s">
        <v>368</v>
      </c>
      <c r="D675">
        <v>47104</v>
      </c>
      <c r="E675">
        <v>5</v>
      </c>
      <c r="F675" s="24" t="str">
        <f t="shared" si="58"/>
        <v>2024-4</v>
      </c>
      <c r="O675" t="s">
        <v>16</v>
      </c>
      <c r="P675" t="s">
        <v>135</v>
      </c>
      <c r="Q675">
        <v>8</v>
      </c>
      <c r="AA675">
        <v>47104</v>
      </c>
      <c r="AB675" t="s">
        <v>295</v>
      </c>
      <c r="AD675">
        <f t="shared" si="56"/>
        <v>0</v>
      </c>
      <c r="AE675">
        <f t="shared" si="57"/>
        <v>0</v>
      </c>
      <c r="AG675" t="s">
        <v>16</v>
      </c>
      <c r="AH675" t="s">
        <v>135</v>
      </c>
      <c r="BF675" t="s">
        <v>135</v>
      </c>
      <c r="BG675" t="s">
        <v>16</v>
      </c>
      <c r="BH675">
        <v>8</v>
      </c>
      <c r="BI675" t="s">
        <v>505</v>
      </c>
      <c r="CG675" t="s">
        <v>14</v>
      </c>
      <c r="CH675" t="s">
        <v>295</v>
      </c>
      <c r="CI675">
        <v>47104</v>
      </c>
      <c r="CJ675" t="s">
        <v>503</v>
      </c>
    </row>
    <row r="676" spans="1:88" x14ac:dyDescent="0.25">
      <c r="A676" t="s">
        <v>14</v>
      </c>
      <c r="B676" t="s">
        <v>210</v>
      </c>
      <c r="C676" t="s">
        <v>369</v>
      </c>
      <c r="D676">
        <v>63497</v>
      </c>
      <c r="E676">
        <v>0</v>
      </c>
      <c r="F676" s="24" t="str">
        <f t="shared" si="58"/>
        <v>2024-4</v>
      </c>
      <c r="O676" t="s">
        <v>16</v>
      </c>
      <c r="P676" t="s">
        <v>231</v>
      </c>
      <c r="Q676">
        <v>6</v>
      </c>
      <c r="AA676">
        <v>63497</v>
      </c>
      <c r="AB676" t="s">
        <v>210</v>
      </c>
      <c r="AD676">
        <f t="shared" si="56"/>
        <v>0</v>
      </c>
      <c r="AE676">
        <f t="shared" si="57"/>
        <v>0</v>
      </c>
      <c r="AG676" t="s">
        <v>16</v>
      </c>
      <c r="AH676" t="s">
        <v>231</v>
      </c>
      <c r="BF676" t="s">
        <v>231</v>
      </c>
      <c r="BG676" t="s">
        <v>16</v>
      </c>
      <c r="BH676">
        <v>6</v>
      </c>
      <c r="BI676" t="s">
        <v>505</v>
      </c>
      <c r="CG676" t="s">
        <v>14</v>
      </c>
      <c r="CH676" t="s">
        <v>210</v>
      </c>
      <c r="CI676">
        <v>63497</v>
      </c>
      <c r="CJ676" t="s">
        <v>503</v>
      </c>
    </row>
    <row r="677" spans="1:88" x14ac:dyDescent="0.25">
      <c r="A677" t="s">
        <v>53</v>
      </c>
      <c r="B677" t="s">
        <v>255</v>
      </c>
      <c r="C677" t="s">
        <v>369</v>
      </c>
      <c r="D677">
        <v>17876</v>
      </c>
      <c r="E677">
        <v>4</v>
      </c>
      <c r="F677" s="24" t="str">
        <f t="shared" si="58"/>
        <v>2024-4</v>
      </c>
      <c r="O677" t="s">
        <v>21</v>
      </c>
      <c r="P677" t="s">
        <v>193</v>
      </c>
      <c r="Q677">
        <v>5</v>
      </c>
      <c r="AA677">
        <v>17876</v>
      </c>
      <c r="AB677" t="s">
        <v>255</v>
      </c>
      <c r="AD677">
        <f t="shared" si="56"/>
        <v>0</v>
      </c>
      <c r="AE677">
        <f t="shared" si="57"/>
        <v>0</v>
      </c>
      <c r="AG677" t="s">
        <v>21</v>
      </c>
      <c r="AH677" t="s">
        <v>193</v>
      </c>
      <c r="BF677" t="s">
        <v>193</v>
      </c>
      <c r="BG677" t="s">
        <v>21</v>
      </c>
      <c r="BH677">
        <v>5</v>
      </c>
      <c r="BI677" t="s">
        <v>505</v>
      </c>
      <c r="CG677" t="s">
        <v>53</v>
      </c>
      <c r="CH677" t="s">
        <v>255</v>
      </c>
      <c r="CI677">
        <v>17876</v>
      </c>
      <c r="CJ677" t="s">
        <v>503</v>
      </c>
    </row>
    <row r="678" spans="1:88" x14ac:dyDescent="0.25">
      <c r="A678" t="s">
        <v>16</v>
      </c>
      <c r="B678" t="s">
        <v>149</v>
      </c>
      <c r="C678" t="s">
        <v>369</v>
      </c>
      <c r="D678">
        <v>73249</v>
      </c>
      <c r="E678">
        <v>3</v>
      </c>
      <c r="F678" s="24" t="str">
        <f t="shared" si="58"/>
        <v>2024-4</v>
      </c>
      <c r="O678" t="s">
        <v>10</v>
      </c>
      <c r="P678" t="s">
        <v>88</v>
      </c>
      <c r="Q678">
        <v>7</v>
      </c>
      <c r="AA678">
        <v>73249</v>
      </c>
      <c r="AB678" t="s">
        <v>149</v>
      </c>
      <c r="AD678">
        <f t="shared" si="56"/>
        <v>0</v>
      </c>
      <c r="AE678">
        <f t="shared" si="57"/>
        <v>0</v>
      </c>
      <c r="AG678" t="s">
        <v>10</v>
      </c>
      <c r="AH678" t="s">
        <v>88</v>
      </c>
      <c r="BF678" t="s">
        <v>88</v>
      </c>
      <c r="BG678" t="s">
        <v>10</v>
      </c>
      <c r="BH678">
        <v>7</v>
      </c>
      <c r="BI678" t="s">
        <v>505</v>
      </c>
      <c r="CG678" t="s">
        <v>16</v>
      </c>
      <c r="CH678" t="s">
        <v>149</v>
      </c>
      <c r="CI678">
        <v>73249</v>
      </c>
      <c r="CJ678" t="s">
        <v>503</v>
      </c>
    </row>
    <row r="679" spans="1:88" x14ac:dyDescent="0.25">
      <c r="A679" t="s">
        <v>8</v>
      </c>
      <c r="B679" t="s">
        <v>295</v>
      </c>
      <c r="C679" t="s">
        <v>369</v>
      </c>
      <c r="D679">
        <v>93315</v>
      </c>
      <c r="E679">
        <v>9</v>
      </c>
      <c r="F679" s="24" t="str">
        <f t="shared" si="58"/>
        <v>2024-4</v>
      </c>
      <c r="O679" t="s">
        <v>53</v>
      </c>
      <c r="P679" t="s">
        <v>409</v>
      </c>
      <c r="Q679">
        <v>5</v>
      </c>
      <c r="AA679">
        <v>93315</v>
      </c>
      <c r="AB679" t="s">
        <v>295</v>
      </c>
      <c r="AD679">
        <f t="shared" si="56"/>
        <v>0</v>
      </c>
      <c r="AE679">
        <f t="shared" si="57"/>
        <v>0</v>
      </c>
      <c r="AG679" t="s">
        <v>53</v>
      </c>
      <c r="AH679" t="s">
        <v>409</v>
      </c>
      <c r="BF679" t="s">
        <v>409</v>
      </c>
      <c r="BG679" t="s">
        <v>53</v>
      </c>
      <c r="BH679">
        <v>5</v>
      </c>
      <c r="BI679" t="s">
        <v>505</v>
      </c>
      <c r="CG679" t="s">
        <v>8</v>
      </c>
      <c r="CH679" t="s">
        <v>295</v>
      </c>
      <c r="CI679">
        <v>93315</v>
      </c>
      <c r="CJ679" t="s">
        <v>503</v>
      </c>
    </row>
    <row r="680" spans="1:88" x14ac:dyDescent="0.25">
      <c r="A680" t="s">
        <v>8</v>
      </c>
      <c r="B680" t="s">
        <v>370</v>
      </c>
      <c r="C680" t="s">
        <v>369</v>
      </c>
      <c r="D680">
        <v>93102</v>
      </c>
      <c r="E680">
        <v>6</v>
      </c>
      <c r="F680" s="24" t="str">
        <f t="shared" si="58"/>
        <v>2024-4</v>
      </c>
      <c r="O680" t="s">
        <v>10</v>
      </c>
      <c r="P680" t="s">
        <v>79</v>
      </c>
      <c r="Q680">
        <v>9</v>
      </c>
      <c r="AA680">
        <v>93102</v>
      </c>
      <c r="AB680" t="s">
        <v>370</v>
      </c>
      <c r="AD680">
        <f t="shared" si="56"/>
        <v>0</v>
      </c>
      <c r="AE680">
        <f t="shared" si="57"/>
        <v>0</v>
      </c>
      <c r="AG680" t="s">
        <v>10</v>
      </c>
      <c r="AH680" t="s">
        <v>79</v>
      </c>
      <c r="BF680" t="s">
        <v>79</v>
      </c>
      <c r="BG680" t="s">
        <v>10</v>
      </c>
      <c r="BH680">
        <v>9</v>
      </c>
      <c r="BI680" t="s">
        <v>505</v>
      </c>
      <c r="CG680" t="s">
        <v>8</v>
      </c>
      <c r="CH680" t="s">
        <v>370</v>
      </c>
      <c r="CI680">
        <v>93102</v>
      </c>
      <c r="CJ680" t="s">
        <v>503</v>
      </c>
    </row>
    <row r="681" spans="1:88" x14ac:dyDescent="0.25">
      <c r="A681" t="s">
        <v>75</v>
      </c>
      <c r="B681" t="s">
        <v>353</v>
      </c>
      <c r="C681" t="s">
        <v>369</v>
      </c>
      <c r="D681">
        <v>51433</v>
      </c>
      <c r="E681">
        <v>6</v>
      </c>
      <c r="F681" s="24" t="str">
        <f t="shared" si="58"/>
        <v>2024-4</v>
      </c>
      <c r="O681" t="s">
        <v>75</v>
      </c>
      <c r="P681" t="s">
        <v>12</v>
      </c>
      <c r="Q681">
        <v>8</v>
      </c>
      <c r="AA681">
        <v>51433</v>
      </c>
      <c r="AB681" t="s">
        <v>353</v>
      </c>
      <c r="AD681">
        <f t="shared" si="56"/>
        <v>0</v>
      </c>
      <c r="AE681">
        <f t="shared" si="57"/>
        <v>0</v>
      </c>
      <c r="AG681" t="s">
        <v>75</v>
      </c>
      <c r="AH681" t="s">
        <v>12</v>
      </c>
      <c r="BF681" t="s">
        <v>12</v>
      </c>
      <c r="BG681" t="s">
        <v>75</v>
      </c>
      <c r="BH681">
        <v>8</v>
      </c>
      <c r="BI681" t="s">
        <v>505</v>
      </c>
      <c r="CG681" t="s">
        <v>75</v>
      </c>
      <c r="CH681" t="s">
        <v>353</v>
      </c>
      <c r="CI681">
        <v>51433</v>
      </c>
      <c r="CJ681" t="s">
        <v>503</v>
      </c>
    </row>
    <row r="682" spans="1:88" x14ac:dyDescent="0.25">
      <c r="A682" t="s">
        <v>37</v>
      </c>
      <c r="B682" t="s">
        <v>17</v>
      </c>
      <c r="C682" t="s">
        <v>369</v>
      </c>
      <c r="D682">
        <v>42347</v>
      </c>
      <c r="E682">
        <v>6</v>
      </c>
      <c r="F682" s="24" t="str">
        <f t="shared" si="58"/>
        <v>2024-4</v>
      </c>
      <c r="O682" t="s">
        <v>21</v>
      </c>
      <c r="P682" t="s">
        <v>134</v>
      </c>
      <c r="Q682">
        <v>5</v>
      </c>
      <c r="AA682">
        <v>42347</v>
      </c>
      <c r="AB682" t="s">
        <v>17</v>
      </c>
      <c r="AD682">
        <f t="shared" si="56"/>
        <v>0</v>
      </c>
      <c r="AE682">
        <f t="shared" si="57"/>
        <v>0</v>
      </c>
      <c r="AG682" t="s">
        <v>21</v>
      </c>
      <c r="AH682" t="s">
        <v>134</v>
      </c>
      <c r="BF682" t="s">
        <v>134</v>
      </c>
      <c r="BG682" t="s">
        <v>21</v>
      </c>
      <c r="BH682">
        <v>5</v>
      </c>
      <c r="BI682" t="s">
        <v>505</v>
      </c>
      <c r="CG682" t="s">
        <v>37</v>
      </c>
      <c r="CH682" t="s">
        <v>17</v>
      </c>
      <c r="CI682">
        <v>42347</v>
      </c>
      <c r="CJ682" t="s">
        <v>503</v>
      </c>
    </row>
    <row r="683" spans="1:88" x14ac:dyDescent="0.25">
      <c r="A683" t="s">
        <v>8</v>
      </c>
      <c r="B683" t="s">
        <v>171</v>
      </c>
      <c r="C683" t="s">
        <v>369</v>
      </c>
      <c r="D683">
        <v>87336</v>
      </c>
      <c r="E683">
        <v>4</v>
      </c>
      <c r="F683" s="24" t="str">
        <f t="shared" si="58"/>
        <v>2024-4</v>
      </c>
      <c r="O683" t="s">
        <v>75</v>
      </c>
      <c r="P683" t="s">
        <v>130</v>
      </c>
      <c r="Q683">
        <v>5</v>
      </c>
      <c r="AA683">
        <v>87336</v>
      </c>
      <c r="AB683" t="s">
        <v>171</v>
      </c>
      <c r="AD683">
        <f t="shared" si="56"/>
        <v>0</v>
      </c>
      <c r="AE683">
        <f t="shared" si="57"/>
        <v>0</v>
      </c>
      <c r="AG683" t="s">
        <v>75</v>
      </c>
      <c r="AH683" t="s">
        <v>130</v>
      </c>
      <c r="BF683" t="s">
        <v>130</v>
      </c>
      <c r="BG683" t="s">
        <v>75</v>
      </c>
      <c r="BH683">
        <v>5</v>
      </c>
      <c r="BI683" t="s">
        <v>505</v>
      </c>
      <c r="CG683" t="s">
        <v>8</v>
      </c>
      <c r="CH683" t="s">
        <v>171</v>
      </c>
      <c r="CI683">
        <v>87336</v>
      </c>
      <c r="CJ683" t="s">
        <v>503</v>
      </c>
    </row>
    <row r="684" spans="1:88" x14ac:dyDescent="0.25">
      <c r="A684" t="s">
        <v>21</v>
      </c>
      <c r="B684" t="s">
        <v>371</v>
      </c>
      <c r="C684" t="s">
        <v>369</v>
      </c>
      <c r="D684">
        <v>48130</v>
      </c>
      <c r="E684">
        <v>8</v>
      </c>
      <c r="F684" s="24" t="str">
        <f t="shared" si="58"/>
        <v>2024-4</v>
      </c>
      <c r="O684" t="s">
        <v>55</v>
      </c>
      <c r="P684" t="s">
        <v>39</v>
      </c>
      <c r="Q684">
        <v>3</v>
      </c>
      <c r="AA684">
        <v>48130</v>
      </c>
      <c r="AB684" t="s">
        <v>371</v>
      </c>
      <c r="AD684">
        <f t="shared" si="56"/>
        <v>0</v>
      </c>
      <c r="AE684">
        <f t="shared" si="57"/>
        <v>0</v>
      </c>
      <c r="AG684" t="s">
        <v>55</v>
      </c>
      <c r="AH684" t="s">
        <v>39</v>
      </c>
      <c r="BF684" t="s">
        <v>39</v>
      </c>
      <c r="BG684" t="s">
        <v>55</v>
      </c>
      <c r="BH684">
        <v>3</v>
      </c>
      <c r="BI684" t="s">
        <v>505</v>
      </c>
      <c r="CG684" t="s">
        <v>21</v>
      </c>
      <c r="CH684" t="s">
        <v>371</v>
      </c>
      <c r="CI684">
        <v>48130</v>
      </c>
      <c r="CJ684" t="s">
        <v>503</v>
      </c>
    </row>
    <row r="685" spans="1:88" x14ac:dyDescent="0.25">
      <c r="A685" t="s">
        <v>5</v>
      </c>
      <c r="B685" t="s">
        <v>293</v>
      </c>
      <c r="C685" t="s">
        <v>372</v>
      </c>
      <c r="D685">
        <v>90713</v>
      </c>
      <c r="E685">
        <v>9</v>
      </c>
      <c r="F685" s="24" t="str">
        <f t="shared" si="58"/>
        <v>2024-4</v>
      </c>
      <c r="O685" t="s">
        <v>5</v>
      </c>
      <c r="P685" t="s">
        <v>76</v>
      </c>
      <c r="Q685">
        <v>7</v>
      </c>
      <c r="AA685">
        <v>90713</v>
      </c>
      <c r="AB685" t="s">
        <v>293</v>
      </c>
      <c r="AD685">
        <f t="shared" si="56"/>
        <v>0</v>
      </c>
      <c r="AE685">
        <f t="shared" si="57"/>
        <v>0</v>
      </c>
      <c r="AG685" t="s">
        <v>5</v>
      </c>
      <c r="AH685" t="s">
        <v>76</v>
      </c>
      <c r="BF685" t="s">
        <v>76</v>
      </c>
      <c r="BG685" t="s">
        <v>5</v>
      </c>
      <c r="BH685">
        <v>7</v>
      </c>
      <c r="BI685" t="s">
        <v>505</v>
      </c>
      <c r="CG685" t="s">
        <v>5</v>
      </c>
      <c r="CH685" t="s">
        <v>293</v>
      </c>
      <c r="CI685">
        <v>90713</v>
      </c>
      <c r="CJ685" t="s">
        <v>503</v>
      </c>
    </row>
    <row r="686" spans="1:88" x14ac:dyDescent="0.25">
      <c r="A686" t="s">
        <v>21</v>
      </c>
      <c r="B686" t="s">
        <v>138</v>
      </c>
      <c r="C686" t="s">
        <v>372</v>
      </c>
      <c r="D686">
        <v>23155</v>
      </c>
      <c r="E686">
        <v>3</v>
      </c>
      <c r="F686" s="24" t="str">
        <f t="shared" si="58"/>
        <v>2024-4</v>
      </c>
      <c r="O686" t="s">
        <v>21</v>
      </c>
      <c r="P686" t="s">
        <v>81</v>
      </c>
      <c r="Q686">
        <v>6</v>
      </c>
      <c r="AA686">
        <v>23155</v>
      </c>
      <c r="AB686" t="s">
        <v>138</v>
      </c>
      <c r="AD686">
        <f t="shared" si="56"/>
        <v>0</v>
      </c>
      <c r="AE686">
        <f t="shared" si="57"/>
        <v>0</v>
      </c>
      <c r="AG686" t="s">
        <v>21</v>
      </c>
      <c r="AH686" t="s">
        <v>81</v>
      </c>
      <c r="BF686" t="s">
        <v>81</v>
      </c>
      <c r="BG686" t="s">
        <v>21</v>
      </c>
      <c r="BH686">
        <v>6</v>
      </c>
      <c r="BI686" t="s">
        <v>505</v>
      </c>
      <c r="CG686" t="s">
        <v>21</v>
      </c>
      <c r="CH686" t="s">
        <v>138</v>
      </c>
      <c r="CI686">
        <v>23155</v>
      </c>
      <c r="CJ686" t="s">
        <v>503</v>
      </c>
    </row>
    <row r="687" spans="1:88" x14ac:dyDescent="0.25">
      <c r="A687" t="s">
        <v>21</v>
      </c>
      <c r="B687" t="s">
        <v>370</v>
      </c>
      <c r="C687" t="s">
        <v>373</v>
      </c>
      <c r="D687">
        <v>53824</v>
      </c>
      <c r="E687">
        <v>6</v>
      </c>
      <c r="F687" s="24" t="str">
        <f t="shared" si="58"/>
        <v>2024-5</v>
      </c>
      <c r="O687" t="s">
        <v>10</v>
      </c>
      <c r="P687" t="s">
        <v>180</v>
      </c>
      <c r="Q687">
        <v>1</v>
      </c>
      <c r="AA687">
        <v>53824</v>
      </c>
      <c r="AB687" t="s">
        <v>370</v>
      </c>
      <c r="AD687">
        <f t="shared" si="56"/>
        <v>0</v>
      </c>
      <c r="AE687">
        <f t="shared" si="57"/>
        <v>0</v>
      </c>
      <c r="AG687" t="s">
        <v>10</v>
      </c>
      <c r="AH687" t="s">
        <v>180</v>
      </c>
      <c r="BF687" t="s">
        <v>180</v>
      </c>
      <c r="BG687" t="s">
        <v>10</v>
      </c>
      <c r="BH687">
        <v>1</v>
      </c>
      <c r="BI687" t="s">
        <v>505</v>
      </c>
      <c r="CG687" t="s">
        <v>21</v>
      </c>
      <c r="CH687" t="s">
        <v>370</v>
      </c>
      <c r="CI687">
        <v>53824</v>
      </c>
      <c r="CJ687" t="s">
        <v>504</v>
      </c>
    </row>
    <row r="688" spans="1:88" x14ac:dyDescent="0.25">
      <c r="A688" t="s">
        <v>53</v>
      </c>
      <c r="B688" t="s">
        <v>244</v>
      </c>
      <c r="C688" t="s">
        <v>373</v>
      </c>
      <c r="D688">
        <v>61609</v>
      </c>
      <c r="E688">
        <v>5</v>
      </c>
      <c r="F688" s="24" t="str">
        <f t="shared" si="58"/>
        <v>2024-5</v>
      </c>
      <c r="O688" t="s">
        <v>16</v>
      </c>
      <c r="P688" t="s">
        <v>139</v>
      </c>
      <c r="Q688">
        <v>5</v>
      </c>
      <c r="AA688">
        <v>61609</v>
      </c>
      <c r="AB688" t="s">
        <v>244</v>
      </c>
      <c r="AD688">
        <f t="shared" si="56"/>
        <v>0</v>
      </c>
      <c r="AE688">
        <f t="shared" si="57"/>
        <v>0</v>
      </c>
      <c r="AG688" t="s">
        <v>16</v>
      </c>
      <c r="AH688" t="s">
        <v>139</v>
      </c>
      <c r="BF688" t="s">
        <v>139</v>
      </c>
      <c r="BG688" t="s">
        <v>16</v>
      </c>
      <c r="BH688">
        <v>5</v>
      </c>
      <c r="BI688" t="s">
        <v>505</v>
      </c>
      <c r="CG688" t="s">
        <v>53</v>
      </c>
      <c r="CH688" t="s">
        <v>244</v>
      </c>
      <c r="CI688">
        <v>61609</v>
      </c>
      <c r="CJ688" t="s">
        <v>504</v>
      </c>
    </row>
    <row r="689" spans="1:88" x14ac:dyDescent="0.25">
      <c r="A689" t="s">
        <v>8</v>
      </c>
      <c r="B689" t="s">
        <v>68</v>
      </c>
      <c r="C689" t="s">
        <v>373</v>
      </c>
      <c r="D689">
        <v>63734</v>
      </c>
      <c r="E689">
        <v>4</v>
      </c>
      <c r="F689" s="24" t="str">
        <f t="shared" si="58"/>
        <v>2024-5</v>
      </c>
      <c r="O689" t="s">
        <v>5</v>
      </c>
      <c r="P689" t="s">
        <v>118</v>
      </c>
      <c r="Q689">
        <v>4</v>
      </c>
      <c r="AA689">
        <v>63734</v>
      </c>
      <c r="AB689" t="s">
        <v>68</v>
      </c>
      <c r="AD689">
        <f t="shared" si="56"/>
        <v>0</v>
      </c>
      <c r="AE689">
        <f t="shared" si="57"/>
        <v>0</v>
      </c>
      <c r="AG689" t="s">
        <v>5</v>
      </c>
      <c r="AH689" t="s">
        <v>118</v>
      </c>
      <c r="BF689" t="s">
        <v>118</v>
      </c>
      <c r="BG689" t="s">
        <v>5</v>
      </c>
      <c r="BH689">
        <v>4</v>
      </c>
      <c r="BI689" t="s">
        <v>505</v>
      </c>
      <c r="CG689" t="s">
        <v>8</v>
      </c>
      <c r="CH689" t="s">
        <v>68</v>
      </c>
      <c r="CI689">
        <v>63734</v>
      </c>
      <c r="CJ689" t="s">
        <v>504</v>
      </c>
    </row>
    <row r="690" spans="1:88" x14ac:dyDescent="0.25">
      <c r="A690" t="s">
        <v>37</v>
      </c>
      <c r="B690" t="s">
        <v>280</v>
      </c>
      <c r="C690" t="s">
        <v>373</v>
      </c>
      <c r="D690">
        <v>78530</v>
      </c>
      <c r="E690">
        <v>8</v>
      </c>
      <c r="F690" s="24" t="str">
        <f t="shared" si="58"/>
        <v>2024-5</v>
      </c>
      <c r="O690" t="s">
        <v>14</v>
      </c>
      <c r="P690" t="s">
        <v>193</v>
      </c>
      <c r="Q690">
        <v>4</v>
      </c>
      <c r="AA690">
        <v>78530</v>
      </c>
      <c r="AB690" t="s">
        <v>280</v>
      </c>
      <c r="AD690">
        <f t="shared" si="56"/>
        <v>0</v>
      </c>
      <c r="AE690">
        <f t="shared" si="57"/>
        <v>0</v>
      </c>
      <c r="AG690" t="s">
        <v>14</v>
      </c>
      <c r="AH690" t="s">
        <v>193</v>
      </c>
      <c r="BF690" t="s">
        <v>193</v>
      </c>
      <c r="BG690" t="s">
        <v>14</v>
      </c>
      <c r="BH690">
        <v>4</v>
      </c>
      <c r="BI690" t="s">
        <v>505</v>
      </c>
      <c r="CG690" t="s">
        <v>37</v>
      </c>
      <c r="CH690" t="s">
        <v>280</v>
      </c>
      <c r="CI690">
        <v>78530</v>
      </c>
      <c r="CJ690" t="s">
        <v>504</v>
      </c>
    </row>
    <row r="691" spans="1:88" x14ac:dyDescent="0.25">
      <c r="A691" t="s">
        <v>8</v>
      </c>
      <c r="B691" t="s">
        <v>131</v>
      </c>
      <c r="C691" t="s">
        <v>373</v>
      </c>
      <c r="D691">
        <v>87204</v>
      </c>
      <c r="E691">
        <v>1</v>
      </c>
      <c r="F691" s="24" t="str">
        <f t="shared" si="58"/>
        <v>2024-5</v>
      </c>
      <c r="O691" t="s">
        <v>10</v>
      </c>
      <c r="P691" t="s">
        <v>94</v>
      </c>
      <c r="Q691">
        <v>3</v>
      </c>
      <c r="AA691">
        <v>87204</v>
      </c>
      <c r="AB691" t="s">
        <v>131</v>
      </c>
      <c r="AD691">
        <f t="shared" si="56"/>
        <v>0</v>
      </c>
      <c r="AE691">
        <f t="shared" si="57"/>
        <v>0</v>
      </c>
      <c r="AG691" t="s">
        <v>10</v>
      </c>
      <c r="AH691" t="s">
        <v>94</v>
      </c>
      <c r="BF691" t="s">
        <v>94</v>
      </c>
      <c r="BG691" t="s">
        <v>10</v>
      </c>
      <c r="BH691">
        <v>3</v>
      </c>
      <c r="BI691" t="s">
        <v>505</v>
      </c>
      <c r="CG691" t="s">
        <v>8</v>
      </c>
      <c r="CH691" t="s">
        <v>131</v>
      </c>
      <c r="CI691">
        <v>87204</v>
      </c>
      <c r="CJ691" t="s">
        <v>504</v>
      </c>
    </row>
    <row r="692" spans="1:88" x14ac:dyDescent="0.25">
      <c r="A692" t="s">
        <v>8</v>
      </c>
      <c r="B692" t="s">
        <v>253</v>
      </c>
      <c r="C692" t="s">
        <v>373</v>
      </c>
      <c r="D692">
        <v>53998</v>
      </c>
      <c r="E692">
        <v>8</v>
      </c>
      <c r="F692" s="24" t="str">
        <f t="shared" si="58"/>
        <v>2024-5</v>
      </c>
      <c r="O692" t="s">
        <v>35</v>
      </c>
      <c r="P692" t="s">
        <v>11</v>
      </c>
      <c r="Q692">
        <v>2</v>
      </c>
      <c r="AA692">
        <v>53998</v>
      </c>
      <c r="AB692" t="s">
        <v>253</v>
      </c>
      <c r="AD692">
        <f t="shared" si="56"/>
        <v>0</v>
      </c>
      <c r="AE692">
        <f t="shared" si="57"/>
        <v>0</v>
      </c>
      <c r="AG692" t="s">
        <v>35</v>
      </c>
      <c r="AH692" t="s">
        <v>11</v>
      </c>
      <c r="BF692" t="s">
        <v>11</v>
      </c>
      <c r="BG692" t="s">
        <v>35</v>
      </c>
      <c r="BH692">
        <v>2</v>
      </c>
      <c r="BI692" t="s">
        <v>505</v>
      </c>
      <c r="CG692" t="s">
        <v>8</v>
      </c>
      <c r="CH692" t="s">
        <v>253</v>
      </c>
      <c r="CI692">
        <v>53998</v>
      </c>
      <c r="CJ692" t="s">
        <v>504</v>
      </c>
    </row>
    <row r="693" spans="1:88" x14ac:dyDescent="0.25">
      <c r="A693" t="s">
        <v>37</v>
      </c>
      <c r="B693" t="s">
        <v>95</v>
      </c>
      <c r="C693" t="s">
        <v>373</v>
      </c>
      <c r="D693">
        <v>72531</v>
      </c>
      <c r="E693">
        <v>5</v>
      </c>
      <c r="F693" s="24" t="str">
        <f t="shared" si="58"/>
        <v>2024-5</v>
      </c>
      <c r="O693" t="s">
        <v>21</v>
      </c>
      <c r="P693" t="s">
        <v>418</v>
      </c>
      <c r="Q693">
        <v>6</v>
      </c>
      <c r="AA693">
        <v>72531</v>
      </c>
      <c r="AB693" t="s">
        <v>95</v>
      </c>
      <c r="AD693">
        <f t="shared" si="56"/>
        <v>0</v>
      </c>
      <c r="AE693">
        <f t="shared" si="57"/>
        <v>0</v>
      </c>
      <c r="AG693" t="s">
        <v>21</v>
      </c>
      <c r="AH693" t="s">
        <v>418</v>
      </c>
      <c r="BF693" t="s">
        <v>418</v>
      </c>
      <c r="BG693" t="s">
        <v>21</v>
      </c>
      <c r="BH693">
        <v>6</v>
      </c>
      <c r="BI693" t="s">
        <v>505</v>
      </c>
      <c r="CG693" t="s">
        <v>37</v>
      </c>
      <c r="CH693" t="s">
        <v>95</v>
      </c>
      <c r="CI693">
        <v>72531</v>
      </c>
      <c r="CJ693" t="s">
        <v>504</v>
      </c>
    </row>
    <row r="694" spans="1:88" x14ac:dyDescent="0.25">
      <c r="A694" t="s">
        <v>37</v>
      </c>
      <c r="B694" t="s">
        <v>125</v>
      </c>
      <c r="C694" t="s">
        <v>373</v>
      </c>
      <c r="D694">
        <v>95403</v>
      </c>
      <c r="E694">
        <v>2</v>
      </c>
      <c r="F694" s="24" t="str">
        <f t="shared" si="58"/>
        <v>2024-5</v>
      </c>
      <c r="O694" t="s">
        <v>21</v>
      </c>
      <c r="P694" t="s">
        <v>149</v>
      </c>
      <c r="Q694">
        <v>6</v>
      </c>
      <c r="AA694">
        <v>95403</v>
      </c>
      <c r="AB694" t="s">
        <v>125</v>
      </c>
      <c r="AD694">
        <f t="shared" si="56"/>
        <v>0</v>
      </c>
      <c r="AE694">
        <f t="shared" si="57"/>
        <v>0</v>
      </c>
      <c r="AG694" t="s">
        <v>21</v>
      </c>
      <c r="AH694" t="s">
        <v>149</v>
      </c>
      <c r="BF694" t="s">
        <v>149</v>
      </c>
      <c r="BG694" t="s">
        <v>21</v>
      </c>
      <c r="BH694">
        <v>6</v>
      </c>
      <c r="BI694" t="s">
        <v>505</v>
      </c>
      <c r="CG694" t="s">
        <v>37</v>
      </c>
      <c r="CH694" t="s">
        <v>125</v>
      </c>
      <c r="CI694">
        <v>95403</v>
      </c>
      <c r="CJ694" t="s">
        <v>504</v>
      </c>
    </row>
    <row r="695" spans="1:88" x14ac:dyDescent="0.25">
      <c r="A695" t="s">
        <v>35</v>
      </c>
      <c r="B695" t="s">
        <v>152</v>
      </c>
      <c r="C695" t="s">
        <v>374</v>
      </c>
      <c r="D695">
        <v>78364</v>
      </c>
      <c r="E695">
        <v>7</v>
      </c>
      <c r="F695" s="24" t="str">
        <f t="shared" si="58"/>
        <v>2024-5</v>
      </c>
      <c r="O695" t="s">
        <v>53</v>
      </c>
      <c r="P695" t="s">
        <v>253</v>
      </c>
      <c r="Q695">
        <v>7</v>
      </c>
      <c r="AA695">
        <v>78364</v>
      </c>
      <c r="AB695" t="s">
        <v>152</v>
      </c>
      <c r="AD695">
        <f t="shared" si="56"/>
        <v>0</v>
      </c>
      <c r="AE695">
        <f t="shared" si="57"/>
        <v>0</v>
      </c>
      <c r="AG695" t="s">
        <v>53</v>
      </c>
      <c r="AH695" t="s">
        <v>253</v>
      </c>
      <c r="BF695" t="s">
        <v>253</v>
      </c>
      <c r="BG695" t="s">
        <v>53</v>
      </c>
      <c r="BH695">
        <v>7</v>
      </c>
      <c r="BI695" t="s">
        <v>506</v>
      </c>
      <c r="CG695" t="s">
        <v>35</v>
      </c>
      <c r="CH695" t="s">
        <v>152</v>
      </c>
      <c r="CI695">
        <v>78364</v>
      </c>
      <c r="CJ695" t="s">
        <v>504</v>
      </c>
    </row>
    <row r="696" spans="1:88" x14ac:dyDescent="0.25">
      <c r="A696" t="s">
        <v>5</v>
      </c>
      <c r="B696" t="s">
        <v>36</v>
      </c>
      <c r="C696" t="s">
        <v>374</v>
      </c>
      <c r="D696">
        <v>69414</v>
      </c>
      <c r="E696">
        <v>2</v>
      </c>
      <c r="F696" s="24" t="str">
        <f t="shared" si="58"/>
        <v>2024-5</v>
      </c>
      <c r="O696" t="s">
        <v>35</v>
      </c>
      <c r="P696" t="s">
        <v>418</v>
      </c>
      <c r="Q696">
        <v>7</v>
      </c>
      <c r="AA696">
        <v>69414</v>
      </c>
      <c r="AB696" t="s">
        <v>36</v>
      </c>
      <c r="AD696">
        <f t="shared" si="56"/>
        <v>0</v>
      </c>
      <c r="AE696">
        <f t="shared" si="57"/>
        <v>0</v>
      </c>
      <c r="AG696" t="s">
        <v>35</v>
      </c>
      <c r="AH696" t="s">
        <v>418</v>
      </c>
      <c r="BF696" t="s">
        <v>418</v>
      </c>
      <c r="BG696" t="s">
        <v>35</v>
      </c>
      <c r="BH696">
        <v>7</v>
      </c>
      <c r="BI696" t="s">
        <v>506</v>
      </c>
      <c r="CG696" t="s">
        <v>5</v>
      </c>
      <c r="CH696" t="s">
        <v>36</v>
      </c>
      <c r="CI696">
        <v>69414</v>
      </c>
      <c r="CJ696" t="s">
        <v>504</v>
      </c>
    </row>
    <row r="697" spans="1:88" x14ac:dyDescent="0.25">
      <c r="A697" t="s">
        <v>5</v>
      </c>
      <c r="B697" t="s">
        <v>9</v>
      </c>
      <c r="C697" t="s">
        <v>375</v>
      </c>
      <c r="D697">
        <v>28017</v>
      </c>
      <c r="E697">
        <v>8</v>
      </c>
      <c r="F697" s="24" t="str">
        <f t="shared" si="58"/>
        <v>2024-5</v>
      </c>
      <c r="O697" t="s">
        <v>21</v>
      </c>
      <c r="P697" t="s">
        <v>101</v>
      </c>
      <c r="Q697">
        <v>8</v>
      </c>
      <c r="AA697">
        <v>28017</v>
      </c>
      <c r="AB697" t="s">
        <v>9</v>
      </c>
      <c r="AD697">
        <f t="shared" si="56"/>
        <v>0</v>
      </c>
      <c r="AE697">
        <f t="shared" si="57"/>
        <v>0</v>
      </c>
      <c r="AG697" t="s">
        <v>21</v>
      </c>
      <c r="AH697" t="s">
        <v>101</v>
      </c>
      <c r="BF697" t="s">
        <v>101</v>
      </c>
      <c r="BG697" t="s">
        <v>21</v>
      </c>
      <c r="BH697">
        <v>8</v>
      </c>
      <c r="BI697" t="s">
        <v>506</v>
      </c>
      <c r="CG697" t="s">
        <v>5</v>
      </c>
      <c r="CH697" t="s">
        <v>9</v>
      </c>
      <c r="CI697">
        <v>28017</v>
      </c>
      <c r="CJ697" t="s">
        <v>504</v>
      </c>
    </row>
    <row r="698" spans="1:88" x14ac:dyDescent="0.25">
      <c r="A698" t="s">
        <v>53</v>
      </c>
      <c r="B698" t="s">
        <v>174</v>
      </c>
      <c r="C698" t="s">
        <v>375</v>
      </c>
      <c r="D698">
        <v>85680</v>
      </c>
      <c r="E698">
        <v>7</v>
      </c>
      <c r="F698" s="24" t="str">
        <f t="shared" si="58"/>
        <v>2024-5</v>
      </c>
      <c r="O698" t="s">
        <v>16</v>
      </c>
      <c r="P698" t="s">
        <v>176</v>
      </c>
      <c r="Q698">
        <v>7</v>
      </c>
      <c r="AA698">
        <v>85680</v>
      </c>
      <c r="AB698" t="s">
        <v>174</v>
      </c>
      <c r="AD698">
        <f t="shared" si="56"/>
        <v>0</v>
      </c>
      <c r="AE698">
        <f t="shared" si="57"/>
        <v>0</v>
      </c>
      <c r="AG698" t="s">
        <v>16</v>
      </c>
      <c r="AH698" t="s">
        <v>176</v>
      </c>
      <c r="BF698" t="s">
        <v>176</v>
      </c>
      <c r="BG698" t="s">
        <v>16</v>
      </c>
      <c r="BH698">
        <v>7</v>
      </c>
      <c r="BI698" t="s">
        <v>506</v>
      </c>
      <c r="CG698" t="s">
        <v>53</v>
      </c>
      <c r="CH698" t="s">
        <v>174</v>
      </c>
      <c r="CI698">
        <v>85680</v>
      </c>
      <c r="CJ698" t="s">
        <v>504</v>
      </c>
    </row>
    <row r="699" spans="1:88" x14ac:dyDescent="0.25">
      <c r="A699" t="s">
        <v>8</v>
      </c>
      <c r="B699" t="s">
        <v>39</v>
      </c>
      <c r="C699" t="s">
        <v>376</v>
      </c>
      <c r="D699">
        <v>53068</v>
      </c>
      <c r="E699">
        <v>6</v>
      </c>
      <c r="F699" s="24" t="str">
        <f t="shared" si="58"/>
        <v>2024-5</v>
      </c>
      <c r="O699" t="s">
        <v>16</v>
      </c>
      <c r="P699" t="s">
        <v>105</v>
      </c>
      <c r="Q699">
        <v>0</v>
      </c>
      <c r="AA699">
        <v>53068</v>
      </c>
      <c r="AB699" t="s">
        <v>39</v>
      </c>
      <c r="AD699">
        <f t="shared" si="56"/>
        <v>0</v>
      </c>
      <c r="AE699">
        <f t="shared" si="57"/>
        <v>0</v>
      </c>
      <c r="AG699" t="s">
        <v>16</v>
      </c>
      <c r="AH699" t="s">
        <v>105</v>
      </c>
      <c r="BF699" t="s">
        <v>105</v>
      </c>
      <c r="BG699" t="s">
        <v>16</v>
      </c>
      <c r="BH699">
        <v>0</v>
      </c>
      <c r="BI699" t="s">
        <v>506</v>
      </c>
      <c r="CG699" t="s">
        <v>8</v>
      </c>
      <c r="CH699" t="s">
        <v>39</v>
      </c>
      <c r="CI699">
        <v>53068</v>
      </c>
      <c r="CJ699" t="s">
        <v>504</v>
      </c>
    </row>
    <row r="700" spans="1:88" x14ac:dyDescent="0.25">
      <c r="A700" t="s">
        <v>29</v>
      </c>
      <c r="B700" t="s">
        <v>50</v>
      </c>
      <c r="C700" t="s">
        <v>376</v>
      </c>
      <c r="D700">
        <v>33902</v>
      </c>
      <c r="E700">
        <v>3</v>
      </c>
      <c r="F700" s="24" t="str">
        <f t="shared" si="58"/>
        <v>2024-5</v>
      </c>
      <c r="O700" t="s">
        <v>21</v>
      </c>
      <c r="P700" t="s">
        <v>95</v>
      </c>
      <c r="Q700">
        <v>4</v>
      </c>
      <c r="AA700">
        <v>33902</v>
      </c>
      <c r="AB700" t="s">
        <v>50</v>
      </c>
      <c r="AD700">
        <f t="shared" si="56"/>
        <v>0</v>
      </c>
      <c r="AE700">
        <f t="shared" si="57"/>
        <v>0</v>
      </c>
      <c r="AG700" t="s">
        <v>21</v>
      </c>
      <c r="AH700" t="s">
        <v>95</v>
      </c>
      <c r="BF700" t="s">
        <v>95</v>
      </c>
      <c r="BG700" t="s">
        <v>21</v>
      </c>
      <c r="BH700">
        <v>4</v>
      </c>
      <c r="BI700" t="s">
        <v>506</v>
      </c>
      <c r="CG700" t="s">
        <v>29</v>
      </c>
      <c r="CH700" t="s">
        <v>50</v>
      </c>
      <c r="CI700">
        <v>33902</v>
      </c>
      <c r="CJ700" t="s">
        <v>504</v>
      </c>
    </row>
    <row r="701" spans="1:88" x14ac:dyDescent="0.25">
      <c r="A701" t="s">
        <v>37</v>
      </c>
      <c r="B701" t="s">
        <v>52</v>
      </c>
      <c r="C701" t="s">
        <v>376</v>
      </c>
      <c r="D701">
        <v>33899</v>
      </c>
      <c r="E701">
        <v>8</v>
      </c>
      <c r="F701" s="24" t="str">
        <f t="shared" si="58"/>
        <v>2024-5</v>
      </c>
      <c r="O701" t="s">
        <v>35</v>
      </c>
      <c r="P701" t="s">
        <v>220</v>
      </c>
      <c r="Q701">
        <v>3</v>
      </c>
      <c r="AA701">
        <v>33899</v>
      </c>
      <c r="AB701" t="s">
        <v>52</v>
      </c>
      <c r="AD701">
        <f t="shared" si="56"/>
        <v>0</v>
      </c>
      <c r="AE701">
        <f t="shared" si="57"/>
        <v>0</v>
      </c>
      <c r="AG701" t="s">
        <v>35</v>
      </c>
      <c r="AH701" t="s">
        <v>220</v>
      </c>
      <c r="BF701" t="s">
        <v>220</v>
      </c>
      <c r="BG701" t="s">
        <v>35</v>
      </c>
      <c r="BH701">
        <v>3</v>
      </c>
      <c r="BI701" t="s">
        <v>506</v>
      </c>
      <c r="CG701" t="s">
        <v>37</v>
      </c>
      <c r="CH701" t="s">
        <v>52</v>
      </c>
      <c r="CI701">
        <v>33899</v>
      </c>
      <c r="CJ701" t="s">
        <v>504</v>
      </c>
    </row>
    <row r="702" spans="1:88" x14ac:dyDescent="0.25">
      <c r="A702" t="s">
        <v>8</v>
      </c>
      <c r="B702" t="s">
        <v>263</v>
      </c>
      <c r="C702" t="s">
        <v>376</v>
      </c>
      <c r="D702">
        <v>14717</v>
      </c>
      <c r="E702">
        <v>7</v>
      </c>
      <c r="F702" s="24" t="str">
        <f t="shared" si="58"/>
        <v>2024-5</v>
      </c>
      <c r="O702" t="s">
        <v>75</v>
      </c>
      <c r="P702" t="s">
        <v>24</v>
      </c>
      <c r="Q702">
        <v>6</v>
      </c>
      <c r="AA702">
        <v>14717</v>
      </c>
      <c r="AB702" t="s">
        <v>263</v>
      </c>
      <c r="AD702">
        <f t="shared" si="56"/>
        <v>0</v>
      </c>
      <c r="AE702">
        <f t="shared" si="57"/>
        <v>0</v>
      </c>
      <c r="AG702" t="s">
        <v>75</v>
      </c>
      <c r="AH702" t="s">
        <v>24</v>
      </c>
      <c r="BF702" t="s">
        <v>24</v>
      </c>
      <c r="BG702" t="s">
        <v>75</v>
      </c>
      <c r="BH702">
        <v>6</v>
      </c>
      <c r="BI702" t="s">
        <v>506</v>
      </c>
      <c r="CG702" t="s">
        <v>8</v>
      </c>
      <c r="CH702" t="s">
        <v>263</v>
      </c>
      <c r="CI702">
        <v>14717</v>
      </c>
      <c r="CJ702" t="s">
        <v>504</v>
      </c>
    </row>
    <row r="703" spans="1:88" x14ac:dyDescent="0.25">
      <c r="A703" t="s">
        <v>53</v>
      </c>
      <c r="B703" t="s">
        <v>268</v>
      </c>
      <c r="C703" t="s">
        <v>376</v>
      </c>
      <c r="D703">
        <v>48819</v>
      </c>
      <c r="E703">
        <v>6</v>
      </c>
      <c r="F703" s="24" t="str">
        <f t="shared" si="58"/>
        <v>2024-5</v>
      </c>
      <c r="O703" t="s">
        <v>55</v>
      </c>
      <c r="P703" t="s">
        <v>196</v>
      </c>
      <c r="Q703">
        <v>6</v>
      </c>
      <c r="AA703">
        <v>48819</v>
      </c>
      <c r="AB703" t="s">
        <v>268</v>
      </c>
      <c r="AD703">
        <f t="shared" si="56"/>
        <v>0</v>
      </c>
      <c r="AE703">
        <f t="shared" si="57"/>
        <v>0</v>
      </c>
      <c r="AG703" t="s">
        <v>55</v>
      </c>
      <c r="AH703" t="s">
        <v>196</v>
      </c>
      <c r="BF703" t="s">
        <v>196</v>
      </c>
      <c r="BG703" t="s">
        <v>55</v>
      </c>
      <c r="BH703">
        <v>6</v>
      </c>
      <c r="BI703" t="s">
        <v>506</v>
      </c>
      <c r="CG703" t="s">
        <v>53</v>
      </c>
      <c r="CH703" t="s">
        <v>268</v>
      </c>
      <c r="CI703">
        <v>48819</v>
      </c>
      <c r="CJ703" t="s">
        <v>504</v>
      </c>
    </row>
    <row r="704" spans="1:88" x14ac:dyDescent="0.25">
      <c r="A704" t="s">
        <v>55</v>
      </c>
      <c r="B704" t="s">
        <v>206</v>
      </c>
      <c r="C704" t="s">
        <v>376</v>
      </c>
      <c r="D704">
        <v>38777</v>
      </c>
      <c r="E704">
        <v>7</v>
      </c>
      <c r="F704" s="24" t="str">
        <f t="shared" si="58"/>
        <v>2024-5</v>
      </c>
      <c r="O704" t="s">
        <v>10</v>
      </c>
      <c r="P704" t="s">
        <v>70</v>
      </c>
      <c r="Q704">
        <v>0</v>
      </c>
      <c r="AA704">
        <v>38777</v>
      </c>
      <c r="AB704" t="s">
        <v>206</v>
      </c>
      <c r="AD704">
        <f t="shared" si="56"/>
        <v>0</v>
      </c>
      <c r="AE704">
        <f t="shared" si="57"/>
        <v>0</v>
      </c>
      <c r="AG704" t="s">
        <v>10</v>
      </c>
      <c r="AH704" t="s">
        <v>70</v>
      </c>
      <c r="BF704" t="s">
        <v>70</v>
      </c>
      <c r="BG704" t="s">
        <v>10</v>
      </c>
      <c r="BH704">
        <v>0</v>
      </c>
      <c r="BI704" t="s">
        <v>506</v>
      </c>
      <c r="CG704" t="s">
        <v>55</v>
      </c>
      <c r="CH704" t="s">
        <v>206</v>
      </c>
      <c r="CI704">
        <v>38777</v>
      </c>
      <c r="CJ704" t="s">
        <v>504</v>
      </c>
    </row>
    <row r="705" spans="1:88" x14ac:dyDescent="0.25">
      <c r="A705" t="s">
        <v>53</v>
      </c>
      <c r="B705" t="s">
        <v>90</v>
      </c>
      <c r="C705" t="s">
        <v>376</v>
      </c>
      <c r="D705">
        <v>84784</v>
      </c>
      <c r="E705">
        <v>4</v>
      </c>
      <c r="F705" s="24" t="str">
        <f t="shared" si="58"/>
        <v>2024-5</v>
      </c>
      <c r="O705" t="s">
        <v>29</v>
      </c>
      <c r="P705" t="s">
        <v>15</v>
      </c>
      <c r="Q705">
        <v>7</v>
      </c>
      <c r="AA705">
        <v>84784</v>
      </c>
      <c r="AB705" t="s">
        <v>90</v>
      </c>
      <c r="AD705">
        <f t="shared" si="56"/>
        <v>0</v>
      </c>
      <c r="AE705">
        <f t="shared" si="57"/>
        <v>0</v>
      </c>
      <c r="AG705" t="s">
        <v>29</v>
      </c>
      <c r="AH705" t="s">
        <v>15</v>
      </c>
      <c r="BF705" t="s">
        <v>15</v>
      </c>
      <c r="BG705" t="s">
        <v>29</v>
      </c>
      <c r="BH705">
        <v>7</v>
      </c>
      <c r="BI705" t="s">
        <v>506</v>
      </c>
      <c r="CG705" t="s">
        <v>53</v>
      </c>
      <c r="CH705" t="s">
        <v>90</v>
      </c>
      <c r="CI705">
        <v>84784</v>
      </c>
      <c r="CJ705" t="s">
        <v>504</v>
      </c>
    </row>
    <row r="706" spans="1:88" x14ac:dyDescent="0.25">
      <c r="A706" t="s">
        <v>55</v>
      </c>
      <c r="B706" t="s">
        <v>46</v>
      </c>
      <c r="C706" t="s">
        <v>376</v>
      </c>
      <c r="D706">
        <v>81221</v>
      </c>
      <c r="E706">
        <v>3</v>
      </c>
      <c r="F706" s="24" t="str">
        <f t="shared" si="58"/>
        <v>2024-5</v>
      </c>
      <c r="O706" t="s">
        <v>16</v>
      </c>
      <c r="P706" t="s">
        <v>308</v>
      </c>
      <c r="Q706">
        <v>8</v>
      </c>
      <c r="AA706">
        <v>81221</v>
      </c>
      <c r="AB706" t="s">
        <v>46</v>
      </c>
      <c r="AD706">
        <f t="shared" ref="AD706:AD769" si="59">COUNTIF(AB:AB,AC706)</f>
        <v>0</v>
      </c>
      <c r="AE706">
        <f t="shared" ref="AE706:AE769" si="60">SUMIF(AB:AB,AC706,AA:AA)</f>
        <v>0</v>
      </c>
      <c r="AG706" t="s">
        <v>16</v>
      </c>
      <c r="AH706" t="s">
        <v>308</v>
      </c>
      <c r="BF706" t="s">
        <v>308</v>
      </c>
      <c r="BG706" t="s">
        <v>16</v>
      </c>
      <c r="BH706">
        <v>8</v>
      </c>
      <c r="BI706" t="s">
        <v>506</v>
      </c>
      <c r="CG706" t="s">
        <v>55</v>
      </c>
      <c r="CH706" t="s">
        <v>46</v>
      </c>
      <c r="CI706">
        <v>81221</v>
      </c>
      <c r="CJ706" t="s">
        <v>504</v>
      </c>
    </row>
    <row r="707" spans="1:88" x14ac:dyDescent="0.25">
      <c r="A707" t="s">
        <v>8</v>
      </c>
      <c r="B707" t="s">
        <v>43</v>
      </c>
      <c r="C707" t="s">
        <v>377</v>
      </c>
      <c r="D707">
        <v>41549</v>
      </c>
      <c r="E707">
        <v>1</v>
      </c>
      <c r="F707" s="24" t="str">
        <f t="shared" ref="F707:F770" si="61">YEAR(C707)&amp;"-"&amp;MONTH(C707)</f>
        <v>2024-5</v>
      </c>
      <c r="O707" t="s">
        <v>29</v>
      </c>
      <c r="P707" t="s">
        <v>91</v>
      </c>
      <c r="Q707">
        <v>3</v>
      </c>
      <c r="AA707">
        <v>41549</v>
      </c>
      <c r="AB707" t="s">
        <v>43</v>
      </c>
      <c r="AD707">
        <f t="shared" si="59"/>
        <v>0</v>
      </c>
      <c r="AE707">
        <f t="shared" si="60"/>
        <v>0</v>
      </c>
      <c r="AG707" t="s">
        <v>29</v>
      </c>
      <c r="AH707" t="s">
        <v>91</v>
      </c>
      <c r="BF707" t="s">
        <v>91</v>
      </c>
      <c r="BG707" t="s">
        <v>29</v>
      </c>
      <c r="BH707">
        <v>3</v>
      </c>
      <c r="BI707" t="s">
        <v>506</v>
      </c>
      <c r="CG707" t="s">
        <v>8</v>
      </c>
      <c r="CH707" t="s">
        <v>43</v>
      </c>
      <c r="CI707">
        <v>41549</v>
      </c>
      <c r="CJ707" t="s">
        <v>504</v>
      </c>
    </row>
    <row r="708" spans="1:88" x14ac:dyDescent="0.25">
      <c r="A708" t="s">
        <v>8</v>
      </c>
      <c r="B708" t="s">
        <v>39</v>
      </c>
      <c r="C708" t="s">
        <v>377</v>
      </c>
      <c r="D708">
        <v>52236</v>
      </c>
      <c r="E708">
        <v>6</v>
      </c>
      <c r="F708" s="24" t="str">
        <f t="shared" si="61"/>
        <v>2024-5</v>
      </c>
      <c r="O708" t="s">
        <v>75</v>
      </c>
      <c r="P708" t="s">
        <v>58</v>
      </c>
      <c r="Q708">
        <v>5</v>
      </c>
      <c r="AA708">
        <v>52236</v>
      </c>
      <c r="AB708" t="s">
        <v>39</v>
      </c>
      <c r="AD708">
        <f t="shared" si="59"/>
        <v>0</v>
      </c>
      <c r="AE708">
        <f t="shared" si="60"/>
        <v>0</v>
      </c>
      <c r="AG708" t="s">
        <v>75</v>
      </c>
      <c r="AH708" t="s">
        <v>58</v>
      </c>
      <c r="BF708" t="s">
        <v>58</v>
      </c>
      <c r="BG708" t="s">
        <v>75</v>
      </c>
      <c r="BH708">
        <v>5</v>
      </c>
      <c r="BI708" t="s">
        <v>506</v>
      </c>
      <c r="CG708" t="s">
        <v>8</v>
      </c>
      <c r="CH708" t="s">
        <v>39</v>
      </c>
      <c r="CI708">
        <v>52236</v>
      </c>
      <c r="CJ708" t="s">
        <v>504</v>
      </c>
    </row>
    <row r="709" spans="1:88" x14ac:dyDescent="0.25">
      <c r="A709" t="s">
        <v>37</v>
      </c>
      <c r="B709" t="s">
        <v>65</v>
      </c>
      <c r="C709" t="s">
        <v>377</v>
      </c>
      <c r="D709">
        <v>80159</v>
      </c>
      <c r="E709">
        <v>5</v>
      </c>
      <c r="F709" s="24" t="str">
        <f t="shared" si="61"/>
        <v>2024-5</v>
      </c>
      <c r="O709" t="s">
        <v>16</v>
      </c>
      <c r="P709" t="s">
        <v>113</v>
      </c>
      <c r="Q709">
        <v>5</v>
      </c>
      <c r="AA709">
        <v>80159</v>
      </c>
      <c r="AB709" t="s">
        <v>65</v>
      </c>
      <c r="AD709">
        <f t="shared" si="59"/>
        <v>0</v>
      </c>
      <c r="AE709">
        <f t="shared" si="60"/>
        <v>0</v>
      </c>
      <c r="AG709" t="s">
        <v>16</v>
      </c>
      <c r="AH709" t="s">
        <v>113</v>
      </c>
      <c r="BF709" t="s">
        <v>113</v>
      </c>
      <c r="BG709" t="s">
        <v>16</v>
      </c>
      <c r="BH709">
        <v>5</v>
      </c>
      <c r="BI709" t="s">
        <v>506</v>
      </c>
      <c r="CG709" t="s">
        <v>37</v>
      </c>
      <c r="CH709" t="s">
        <v>65</v>
      </c>
      <c r="CI709">
        <v>80159</v>
      </c>
      <c r="CJ709" t="s">
        <v>504</v>
      </c>
    </row>
    <row r="710" spans="1:88" x14ac:dyDescent="0.25">
      <c r="A710" t="s">
        <v>16</v>
      </c>
      <c r="B710" t="s">
        <v>370</v>
      </c>
      <c r="C710" t="s">
        <v>378</v>
      </c>
      <c r="D710">
        <v>60913</v>
      </c>
      <c r="E710">
        <v>4</v>
      </c>
      <c r="F710" s="24" t="str">
        <f t="shared" si="61"/>
        <v>2024-5</v>
      </c>
      <c r="O710" t="s">
        <v>21</v>
      </c>
      <c r="P710" t="s">
        <v>50</v>
      </c>
      <c r="Q710">
        <v>0</v>
      </c>
      <c r="AA710">
        <v>60913</v>
      </c>
      <c r="AB710" t="s">
        <v>370</v>
      </c>
      <c r="AD710">
        <f t="shared" si="59"/>
        <v>0</v>
      </c>
      <c r="AE710">
        <f t="shared" si="60"/>
        <v>0</v>
      </c>
      <c r="AG710" t="s">
        <v>21</v>
      </c>
      <c r="AH710" t="s">
        <v>50</v>
      </c>
      <c r="BF710" t="s">
        <v>50</v>
      </c>
      <c r="BG710" t="s">
        <v>21</v>
      </c>
      <c r="BH710">
        <v>0</v>
      </c>
      <c r="BI710" t="s">
        <v>506</v>
      </c>
      <c r="CG710" t="s">
        <v>16</v>
      </c>
      <c r="CH710" t="s">
        <v>370</v>
      </c>
      <c r="CI710">
        <v>60913</v>
      </c>
      <c r="CJ710" t="s">
        <v>504</v>
      </c>
    </row>
    <row r="711" spans="1:88" x14ac:dyDescent="0.25">
      <c r="A711" t="s">
        <v>37</v>
      </c>
      <c r="B711" t="s">
        <v>196</v>
      </c>
      <c r="C711" t="s">
        <v>378</v>
      </c>
      <c r="D711">
        <v>19083</v>
      </c>
      <c r="E711">
        <v>6</v>
      </c>
      <c r="F711" s="24" t="str">
        <f t="shared" si="61"/>
        <v>2024-5</v>
      </c>
      <c r="O711" t="s">
        <v>35</v>
      </c>
      <c r="P711" t="s">
        <v>225</v>
      </c>
      <c r="Q711">
        <v>6</v>
      </c>
      <c r="AA711">
        <v>19083</v>
      </c>
      <c r="AB711" t="s">
        <v>196</v>
      </c>
      <c r="AD711">
        <f t="shared" si="59"/>
        <v>0</v>
      </c>
      <c r="AE711">
        <f t="shared" si="60"/>
        <v>0</v>
      </c>
      <c r="AG711" t="s">
        <v>35</v>
      </c>
      <c r="AH711" t="s">
        <v>225</v>
      </c>
      <c r="BF711" t="s">
        <v>225</v>
      </c>
      <c r="BG711" t="s">
        <v>35</v>
      </c>
      <c r="BH711">
        <v>6</v>
      </c>
      <c r="BI711" t="s">
        <v>506</v>
      </c>
      <c r="CG711" t="s">
        <v>37</v>
      </c>
      <c r="CH711" t="s">
        <v>196</v>
      </c>
      <c r="CI711">
        <v>19083</v>
      </c>
      <c r="CJ711" t="s">
        <v>504</v>
      </c>
    </row>
    <row r="712" spans="1:88" x14ac:dyDescent="0.25">
      <c r="A712" t="s">
        <v>21</v>
      </c>
      <c r="B712" t="s">
        <v>105</v>
      </c>
      <c r="C712" t="s">
        <v>378</v>
      </c>
      <c r="D712">
        <v>93550</v>
      </c>
      <c r="E712">
        <v>3</v>
      </c>
      <c r="F712" s="24" t="str">
        <f t="shared" si="61"/>
        <v>2024-5</v>
      </c>
      <c r="O712" t="s">
        <v>14</v>
      </c>
      <c r="P712" t="s">
        <v>88</v>
      </c>
      <c r="Q712">
        <v>9</v>
      </c>
      <c r="AA712">
        <v>93550</v>
      </c>
      <c r="AB712" t="s">
        <v>105</v>
      </c>
      <c r="AD712">
        <f t="shared" si="59"/>
        <v>0</v>
      </c>
      <c r="AE712">
        <f t="shared" si="60"/>
        <v>0</v>
      </c>
      <c r="AG712" t="s">
        <v>14</v>
      </c>
      <c r="AH712" t="s">
        <v>88</v>
      </c>
      <c r="BF712" t="s">
        <v>88</v>
      </c>
      <c r="BG712" t="s">
        <v>14</v>
      </c>
      <c r="BH712">
        <v>9</v>
      </c>
      <c r="BI712" t="s">
        <v>506</v>
      </c>
      <c r="CG712" t="s">
        <v>21</v>
      </c>
      <c r="CH712" t="s">
        <v>105</v>
      </c>
      <c r="CI712">
        <v>93550</v>
      </c>
      <c r="CJ712" t="s">
        <v>504</v>
      </c>
    </row>
    <row r="713" spans="1:88" x14ac:dyDescent="0.25">
      <c r="A713" t="s">
        <v>8</v>
      </c>
      <c r="B713" t="s">
        <v>170</v>
      </c>
      <c r="C713" t="s">
        <v>378</v>
      </c>
      <c r="D713">
        <v>25377</v>
      </c>
      <c r="E713">
        <v>7</v>
      </c>
      <c r="F713" s="24" t="str">
        <f t="shared" si="61"/>
        <v>2024-5</v>
      </c>
      <c r="O713" t="s">
        <v>5</v>
      </c>
      <c r="P713" t="s">
        <v>194</v>
      </c>
      <c r="Q713">
        <v>4</v>
      </c>
      <c r="AA713">
        <v>25377</v>
      </c>
      <c r="AB713" t="s">
        <v>170</v>
      </c>
      <c r="AD713">
        <f t="shared" si="59"/>
        <v>0</v>
      </c>
      <c r="AE713">
        <f t="shared" si="60"/>
        <v>0</v>
      </c>
      <c r="AG713" t="s">
        <v>5</v>
      </c>
      <c r="AH713" t="s">
        <v>194</v>
      </c>
      <c r="BF713" t="s">
        <v>194</v>
      </c>
      <c r="BG713" t="s">
        <v>5</v>
      </c>
      <c r="BH713">
        <v>4</v>
      </c>
      <c r="BI713" t="s">
        <v>506</v>
      </c>
      <c r="CG713" t="s">
        <v>8</v>
      </c>
      <c r="CH713" t="s">
        <v>170</v>
      </c>
      <c r="CI713">
        <v>25377</v>
      </c>
      <c r="CJ713" t="s">
        <v>504</v>
      </c>
    </row>
    <row r="714" spans="1:88" x14ac:dyDescent="0.25">
      <c r="A714" t="s">
        <v>5</v>
      </c>
      <c r="B714" t="s">
        <v>172</v>
      </c>
      <c r="C714" t="s">
        <v>378</v>
      </c>
      <c r="D714">
        <v>53051</v>
      </c>
      <c r="E714">
        <v>8</v>
      </c>
      <c r="F714" s="24" t="str">
        <f t="shared" si="61"/>
        <v>2024-5</v>
      </c>
      <c r="O714" t="s">
        <v>37</v>
      </c>
      <c r="P714" t="s">
        <v>76</v>
      </c>
      <c r="Q714">
        <v>3</v>
      </c>
      <c r="AA714">
        <v>53051</v>
      </c>
      <c r="AB714" t="s">
        <v>172</v>
      </c>
      <c r="AD714">
        <f t="shared" si="59"/>
        <v>0</v>
      </c>
      <c r="AE714">
        <f t="shared" si="60"/>
        <v>0</v>
      </c>
      <c r="AG714" t="s">
        <v>37</v>
      </c>
      <c r="AH714" t="s">
        <v>76</v>
      </c>
      <c r="BF714" t="s">
        <v>76</v>
      </c>
      <c r="BG714" t="s">
        <v>37</v>
      </c>
      <c r="BH714">
        <v>3</v>
      </c>
      <c r="BI714" t="s">
        <v>506</v>
      </c>
      <c r="CG714" t="s">
        <v>5</v>
      </c>
      <c r="CH714" t="s">
        <v>172</v>
      </c>
      <c r="CI714">
        <v>53051</v>
      </c>
      <c r="CJ714" t="s">
        <v>504</v>
      </c>
    </row>
    <row r="715" spans="1:88" x14ac:dyDescent="0.25">
      <c r="A715" t="s">
        <v>14</v>
      </c>
      <c r="B715" t="s">
        <v>179</v>
      </c>
      <c r="C715" t="s">
        <v>379</v>
      </c>
      <c r="D715">
        <v>15971</v>
      </c>
      <c r="E715">
        <v>9</v>
      </c>
      <c r="F715" s="24" t="str">
        <f t="shared" si="61"/>
        <v>2024-5</v>
      </c>
      <c r="O715" t="s">
        <v>55</v>
      </c>
      <c r="P715" t="s">
        <v>36</v>
      </c>
      <c r="Q715">
        <v>7</v>
      </c>
      <c r="AA715">
        <v>15971</v>
      </c>
      <c r="AB715" t="s">
        <v>179</v>
      </c>
      <c r="AD715">
        <f t="shared" si="59"/>
        <v>0</v>
      </c>
      <c r="AE715">
        <f t="shared" si="60"/>
        <v>0</v>
      </c>
      <c r="AG715" t="s">
        <v>55</v>
      </c>
      <c r="AH715" t="s">
        <v>36</v>
      </c>
      <c r="BF715" t="s">
        <v>36</v>
      </c>
      <c r="BG715" t="s">
        <v>55</v>
      </c>
      <c r="BH715">
        <v>7</v>
      </c>
      <c r="BI715" t="s">
        <v>506</v>
      </c>
      <c r="CG715" t="s">
        <v>14</v>
      </c>
      <c r="CH715" t="s">
        <v>179</v>
      </c>
      <c r="CI715">
        <v>15971</v>
      </c>
      <c r="CJ715" t="s">
        <v>504</v>
      </c>
    </row>
    <row r="716" spans="1:88" x14ac:dyDescent="0.25">
      <c r="A716" t="s">
        <v>29</v>
      </c>
      <c r="B716" t="s">
        <v>51</v>
      </c>
      <c r="C716" t="s">
        <v>379</v>
      </c>
      <c r="D716">
        <v>33709</v>
      </c>
      <c r="E716">
        <v>8</v>
      </c>
      <c r="F716" s="24" t="str">
        <f t="shared" si="61"/>
        <v>2024-5</v>
      </c>
      <c r="O716" t="s">
        <v>29</v>
      </c>
      <c r="P716" t="s">
        <v>314</v>
      </c>
      <c r="Q716">
        <v>7</v>
      </c>
      <c r="AA716">
        <v>33709</v>
      </c>
      <c r="AB716" t="s">
        <v>51</v>
      </c>
      <c r="AD716">
        <f t="shared" si="59"/>
        <v>0</v>
      </c>
      <c r="AE716">
        <f t="shared" si="60"/>
        <v>0</v>
      </c>
      <c r="AG716" t="s">
        <v>29</v>
      </c>
      <c r="AH716" t="s">
        <v>314</v>
      </c>
      <c r="BF716" t="s">
        <v>314</v>
      </c>
      <c r="BG716" t="s">
        <v>29</v>
      </c>
      <c r="BH716">
        <v>7</v>
      </c>
      <c r="BI716" t="s">
        <v>506</v>
      </c>
      <c r="CG716" t="s">
        <v>29</v>
      </c>
      <c r="CH716" t="s">
        <v>51</v>
      </c>
      <c r="CI716">
        <v>33709</v>
      </c>
      <c r="CJ716" t="s">
        <v>504</v>
      </c>
    </row>
    <row r="717" spans="1:88" x14ac:dyDescent="0.25">
      <c r="A717" t="s">
        <v>53</v>
      </c>
      <c r="B717" t="s">
        <v>95</v>
      </c>
      <c r="C717" t="s">
        <v>380</v>
      </c>
      <c r="D717">
        <v>39755</v>
      </c>
      <c r="E717">
        <v>8</v>
      </c>
      <c r="F717" s="24" t="str">
        <f t="shared" si="61"/>
        <v>2024-5</v>
      </c>
      <c r="O717" t="s">
        <v>5</v>
      </c>
      <c r="P717" t="s">
        <v>156</v>
      </c>
      <c r="Q717">
        <v>7</v>
      </c>
      <c r="AA717">
        <v>39755</v>
      </c>
      <c r="AB717" t="s">
        <v>95</v>
      </c>
      <c r="AD717">
        <f t="shared" si="59"/>
        <v>0</v>
      </c>
      <c r="AE717">
        <f t="shared" si="60"/>
        <v>0</v>
      </c>
      <c r="AG717" t="s">
        <v>5</v>
      </c>
      <c r="AH717" t="s">
        <v>156</v>
      </c>
      <c r="BF717" t="s">
        <v>156</v>
      </c>
      <c r="BG717" t="s">
        <v>5</v>
      </c>
      <c r="BH717">
        <v>7</v>
      </c>
      <c r="BI717" t="s">
        <v>506</v>
      </c>
      <c r="CG717" t="s">
        <v>53</v>
      </c>
      <c r="CH717" t="s">
        <v>95</v>
      </c>
      <c r="CI717">
        <v>39755</v>
      </c>
      <c r="CJ717" t="s">
        <v>504</v>
      </c>
    </row>
    <row r="718" spans="1:88" x14ac:dyDescent="0.25">
      <c r="A718" t="s">
        <v>10</v>
      </c>
      <c r="B718" t="s">
        <v>287</v>
      </c>
      <c r="C718" t="s">
        <v>380</v>
      </c>
      <c r="D718">
        <v>36697</v>
      </c>
      <c r="E718">
        <v>9</v>
      </c>
      <c r="F718" s="24" t="str">
        <f t="shared" si="61"/>
        <v>2024-5</v>
      </c>
      <c r="O718" t="s">
        <v>37</v>
      </c>
      <c r="P718" t="s">
        <v>123</v>
      </c>
      <c r="Q718">
        <v>8</v>
      </c>
      <c r="AA718">
        <v>36697</v>
      </c>
      <c r="AB718" t="s">
        <v>287</v>
      </c>
      <c r="AD718">
        <f t="shared" si="59"/>
        <v>0</v>
      </c>
      <c r="AE718">
        <f t="shared" si="60"/>
        <v>0</v>
      </c>
      <c r="AG718" t="s">
        <v>37</v>
      </c>
      <c r="AH718" t="s">
        <v>123</v>
      </c>
      <c r="BF718" t="s">
        <v>123</v>
      </c>
      <c r="BG718" t="s">
        <v>37</v>
      </c>
      <c r="BH718">
        <v>8</v>
      </c>
      <c r="BI718" t="s">
        <v>506</v>
      </c>
      <c r="CG718" t="s">
        <v>10</v>
      </c>
      <c r="CH718" t="s">
        <v>287</v>
      </c>
      <c r="CI718">
        <v>36697</v>
      </c>
      <c r="CJ718" t="s">
        <v>504</v>
      </c>
    </row>
    <row r="719" spans="1:88" x14ac:dyDescent="0.25">
      <c r="A719" t="s">
        <v>29</v>
      </c>
      <c r="B719" t="s">
        <v>187</v>
      </c>
      <c r="C719" t="s">
        <v>380</v>
      </c>
      <c r="D719">
        <v>35818</v>
      </c>
      <c r="E719">
        <v>9</v>
      </c>
      <c r="F719" s="24" t="str">
        <f t="shared" si="61"/>
        <v>2024-5</v>
      </c>
      <c r="O719" t="s">
        <v>10</v>
      </c>
      <c r="P719" t="s">
        <v>393</v>
      </c>
      <c r="Q719">
        <v>9</v>
      </c>
      <c r="AA719">
        <v>35818</v>
      </c>
      <c r="AB719" t="s">
        <v>187</v>
      </c>
      <c r="AD719">
        <f t="shared" si="59"/>
        <v>0</v>
      </c>
      <c r="AE719">
        <f t="shared" si="60"/>
        <v>0</v>
      </c>
      <c r="AG719" t="s">
        <v>10</v>
      </c>
      <c r="AH719" t="s">
        <v>393</v>
      </c>
      <c r="BF719" t="s">
        <v>393</v>
      </c>
      <c r="BG719" t="s">
        <v>10</v>
      </c>
      <c r="BH719">
        <v>9</v>
      </c>
      <c r="BI719" t="s">
        <v>506</v>
      </c>
      <c r="CG719" t="s">
        <v>29</v>
      </c>
      <c r="CH719" t="s">
        <v>187</v>
      </c>
      <c r="CI719">
        <v>35818</v>
      </c>
      <c r="CJ719" t="s">
        <v>504</v>
      </c>
    </row>
    <row r="720" spans="1:88" x14ac:dyDescent="0.25">
      <c r="A720" t="s">
        <v>53</v>
      </c>
      <c r="B720" t="s">
        <v>30</v>
      </c>
      <c r="C720" t="s">
        <v>380</v>
      </c>
      <c r="D720">
        <v>23477</v>
      </c>
      <c r="E720">
        <v>8</v>
      </c>
      <c r="F720" s="24" t="str">
        <f t="shared" si="61"/>
        <v>2024-5</v>
      </c>
      <c r="O720" t="s">
        <v>35</v>
      </c>
      <c r="P720" t="s">
        <v>159</v>
      </c>
      <c r="Q720">
        <v>3</v>
      </c>
      <c r="AA720">
        <v>23477</v>
      </c>
      <c r="AB720" t="s">
        <v>30</v>
      </c>
      <c r="AD720">
        <f t="shared" si="59"/>
        <v>0</v>
      </c>
      <c r="AE720">
        <f t="shared" si="60"/>
        <v>0</v>
      </c>
      <c r="AG720" t="s">
        <v>35</v>
      </c>
      <c r="AH720" t="s">
        <v>159</v>
      </c>
      <c r="BF720" t="s">
        <v>159</v>
      </c>
      <c r="BG720" t="s">
        <v>35</v>
      </c>
      <c r="BH720">
        <v>3</v>
      </c>
      <c r="BI720" t="s">
        <v>506</v>
      </c>
      <c r="CG720" t="s">
        <v>53</v>
      </c>
      <c r="CH720" t="s">
        <v>30</v>
      </c>
      <c r="CI720">
        <v>23477</v>
      </c>
      <c r="CJ720" t="s">
        <v>504</v>
      </c>
    </row>
    <row r="721" spans="1:88" x14ac:dyDescent="0.25">
      <c r="A721" t="s">
        <v>29</v>
      </c>
      <c r="B721" t="s">
        <v>34</v>
      </c>
      <c r="C721" t="s">
        <v>381</v>
      </c>
      <c r="D721">
        <v>74956</v>
      </c>
      <c r="E721">
        <v>10</v>
      </c>
      <c r="F721" s="24" t="str">
        <f t="shared" si="61"/>
        <v>2024-5</v>
      </c>
      <c r="O721" t="s">
        <v>29</v>
      </c>
      <c r="P721" t="s">
        <v>151</v>
      </c>
      <c r="Q721">
        <v>4</v>
      </c>
      <c r="AA721">
        <v>74956</v>
      </c>
      <c r="AB721" t="s">
        <v>34</v>
      </c>
      <c r="AD721">
        <f t="shared" si="59"/>
        <v>0</v>
      </c>
      <c r="AE721">
        <f t="shared" si="60"/>
        <v>0</v>
      </c>
      <c r="AG721" t="s">
        <v>29</v>
      </c>
      <c r="AH721" t="s">
        <v>151</v>
      </c>
      <c r="BF721" t="s">
        <v>151</v>
      </c>
      <c r="BG721" t="s">
        <v>29</v>
      </c>
      <c r="BH721">
        <v>4</v>
      </c>
      <c r="BI721" t="s">
        <v>506</v>
      </c>
      <c r="CG721" t="s">
        <v>29</v>
      </c>
      <c r="CH721" t="s">
        <v>34</v>
      </c>
      <c r="CI721">
        <v>74956</v>
      </c>
      <c r="CJ721" t="s">
        <v>504</v>
      </c>
    </row>
    <row r="722" spans="1:88" x14ac:dyDescent="0.25">
      <c r="A722" t="s">
        <v>8</v>
      </c>
      <c r="B722" t="s">
        <v>22</v>
      </c>
      <c r="C722" t="s">
        <v>381</v>
      </c>
      <c r="D722">
        <v>91743</v>
      </c>
      <c r="E722">
        <v>8</v>
      </c>
      <c r="F722" s="24" t="str">
        <f t="shared" si="61"/>
        <v>2024-5</v>
      </c>
      <c r="O722" t="s">
        <v>53</v>
      </c>
      <c r="P722" t="s">
        <v>393</v>
      </c>
      <c r="Q722">
        <v>7</v>
      </c>
      <c r="AA722">
        <v>91743</v>
      </c>
      <c r="AB722" t="s">
        <v>22</v>
      </c>
      <c r="AD722">
        <f t="shared" si="59"/>
        <v>0</v>
      </c>
      <c r="AE722">
        <f t="shared" si="60"/>
        <v>0</v>
      </c>
      <c r="AG722" t="s">
        <v>53</v>
      </c>
      <c r="AH722" t="s">
        <v>393</v>
      </c>
      <c r="BF722" t="s">
        <v>393</v>
      </c>
      <c r="BG722" t="s">
        <v>53</v>
      </c>
      <c r="BH722">
        <v>7</v>
      </c>
      <c r="BI722" t="s">
        <v>506</v>
      </c>
      <c r="CG722" t="s">
        <v>8</v>
      </c>
      <c r="CH722" t="s">
        <v>22</v>
      </c>
      <c r="CI722">
        <v>91743</v>
      </c>
      <c r="CJ722" t="s">
        <v>504</v>
      </c>
    </row>
    <row r="723" spans="1:88" x14ac:dyDescent="0.25">
      <c r="A723" t="s">
        <v>5</v>
      </c>
      <c r="B723" t="s">
        <v>61</v>
      </c>
      <c r="C723" t="s">
        <v>381</v>
      </c>
      <c r="D723">
        <v>29911</v>
      </c>
      <c r="E723">
        <v>9</v>
      </c>
      <c r="F723" s="24" t="str">
        <f t="shared" si="61"/>
        <v>2024-5</v>
      </c>
      <c r="O723" t="s">
        <v>55</v>
      </c>
      <c r="P723" t="s">
        <v>353</v>
      </c>
      <c r="Q723">
        <v>9</v>
      </c>
      <c r="AA723">
        <v>29911</v>
      </c>
      <c r="AB723" t="s">
        <v>61</v>
      </c>
      <c r="AD723">
        <f t="shared" si="59"/>
        <v>0</v>
      </c>
      <c r="AE723">
        <f t="shared" si="60"/>
        <v>0</v>
      </c>
      <c r="AG723" t="s">
        <v>55</v>
      </c>
      <c r="AH723" t="s">
        <v>353</v>
      </c>
      <c r="BF723" t="s">
        <v>353</v>
      </c>
      <c r="BG723" t="s">
        <v>55</v>
      </c>
      <c r="BH723">
        <v>9</v>
      </c>
      <c r="BI723" t="s">
        <v>506</v>
      </c>
      <c r="CG723" t="s">
        <v>5</v>
      </c>
      <c r="CH723" t="s">
        <v>61</v>
      </c>
      <c r="CI723">
        <v>29911</v>
      </c>
      <c r="CJ723" t="s">
        <v>504</v>
      </c>
    </row>
    <row r="724" spans="1:88" x14ac:dyDescent="0.25">
      <c r="A724" t="s">
        <v>75</v>
      </c>
      <c r="B724" t="s">
        <v>88</v>
      </c>
      <c r="C724" t="s">
        <v>381</v>
      </c>
      <c r="D724">
        <v>38116</v>
      </c>
      <c r="E724">
        <v>9</v>
      </c>
      <c r="F724" s="24" t="str">
        <f t="shared" si="61"/>
        <v>2024-5</v>
      </c>
      <c r="O724" t="s">
        <v>37</v>
      </c>
      <c r="P724" t="s">
        <v>78</v>
      </c>
      <c r="Q724">
        <v>7</v>
      </c>
      <c r="AA724">
        <v>38116</v>
      </c>
      <c r="AB724" t="s">
        <v>88</v>
      </c>
      <c r="AD724">
        <f t="shared" si="59"/>
        <v>0</v>
      </c>
      <c r="AE724">
        <f t="shared" si="60"/>
        <v>0</v>
      </c>
      <c r="AG724" t="s">
        <v>37</v>
      </c>
      <c r="AH724" t="s">
        <v>78</v>
      </c>
      <c r="BF724" t="s">
        <v>78</v>
      </c>
      <c r="BG724" t="s">
        <v>37</v>
      </c>
      <c r="BH724">
        <v>7</v>
      </c>
      <c r="BI724" t="s">
        <v>506</v>
      </c>
      <c r="CG724" t="s">
        <v>75</v>
      </c>
      <c r="CH724" t="s">
        <v>88</v>
      </c>
      <c r="CI724">
        <v>38116</v>
      </c>
      <c r="CJ724" t="s">
        <v>504</v>
      </c>
    </row>
    <row r="725" spans="1:88" x14ac:dyDescent="0.25">
      <c r="A725" t="s">
        <v>37</v>
      </c>
      <c r="B725" t="s">
        <v>121</v>
      </c>
      <c r="C725" t="s">
        <v>381</v>
      </c>
      <c r="D725">
        <v>73216</v>
      </c>
      <c r="E725">
        <v>10</v>
      </c>
      <c r="F725" s="24" t="str">
        <f t="shared" si="61"/>
        <v>2024-5</v>
      </c>
      <c r="O725" t="s">
        <v>35</v>
      </c>
      <c r="P725" t="s">
        <v>385</v>
      </c>
      <c r="Q725">
        <v>5</v>
      </c>
      <c r="AA725">
        <v>73216</v>
      </c>
      <c r="AB725" t="s">
        <v>121</v>
      </c>
      <c r="AD725">
        <f t="shared" si="59"/>
        <v>0</v>
      </c>
      <c r="AE725">
        <f t="shared" si="60"/>
        <v>0</v>
      </c>
      <c r="AG725" t="s">
        <v>35</v>
      </c>
      <c r="AH725" t="s">
        <v>385</v>
      </c>
      <c r="BF725" t="s">
        <v>385</v>
      </c>
      <c r="BG725" t="s">
        <v>35</v>
      </c>
      <c r="BH725">
        <v>5</v>
      </c>
      <c r="BI725" t="s">
        <v>506</v>
      </c>
      <c r="CG725" t="s">
        <v>37</v>
      </c>
      <c r="CH725" t="s">
        <v>121</v>
      </c>
      <c r="CI725">
        <v>73216</v>
      </c>
      <c r="CJ725" t="s">
        <v>504</v>
      </c>
    </row>
    <row r="726" spans="1:88" x14ac:dyDescent="0.25">
      <c r="A726" t="s">
        <v>16</v>
      </c>
      <c r="B726" t="s">
        <v>242</v>
      </c>
      <c r="C726" t="s">
        <v>381</v>
      </c>
      <c r="D726">
        <v>88502</v>
      </c>
      <c r="E726">
        <v>7</v>
      </c>
      <c r="F726" s="24" t="str">
        <f t="shared" si="61"/>
        <v>2024-5</v>
      </c>
      <c r="O726" t="s">
        <v>37</v>
      </c>
      <c r="P726" t="s">
        <v>176</v>
      </c>
      <c r="Q726">
        <v>5</v>
      </c>
      <c r="AA726">
        <v>88502</v>
      </c>
      <c r="AB726" t="s">
        <v>242</v>
      </c>
      <c r="AD726">
        <f t="shared" si="59"/>
        <v>0</v>
      </c>
      <c r="AE726">
        <f t="shared" si="60"/>
        <v>0</v>
      </c>
      <c r="AG726" t="s">
        <v>37</v>
      </c>
      <c r="AH726" t="s">
        <v>176</v>
      </c>
      <c r="BF726" t="s">
        <v>176</v>
      </c>
      <c r="BG726" t="s">
        <v>37</v>
      </c>
      <c r="BH726">
        <v>5</v>
      </c>
      <c r="BI726" t="s">
        <v>506</v>
      </c>
      <c r="CG726" t="s">
        <v>16</v>
      </c>
      <c r="CH726" t="s">
        <v>242</v>
      </c>
      <c r="CI726">
        <v>88502</v>
      </c>
      <c r="CJ726" t="s">
        <v>504</v>
      </c>
    </row>
    <row r="727" spans="1:88" x14ac:dyDescent="0.25">
      <c r="A727" t="s">
        <v>10</v>
      </c>
      <c r="B727" t="s">
        <v>242</v>
      </c>
      <c r="C727" t="s">
        <v>382</v>
      </c>
      <c r="D727">
        <v>44629</v>
      </c>
      <c r="E727">
        <v>9</v>
      </c>
      <c r="F727" s="24" t="str">
        <f t="shared" si="61"/>
        <v>2024-5</v>
      </c>
      <c r="O727" t="s">
        <v>37</v>
      </c>
      <c r="P727" t="s">
        <v>225</v>
      </c>
      <c r="Q727">
        <v>2</v>
      </c>
      <c r="AA727">
        <v>44629</v>
      </c>
      <c r="AB727" t="s">
        <v>242</v>
      </c>
      <c r="AD727">
        <f t="shared" si="59"/>
        <v>0</v>
      </c>
      <c r="AE727">
        <f t="shared" si="60"/>
        <v>0</v>
      </c>
      <c r="AG727" t="s">
        <v>37</v>
      </c>
      <c r="AH727" t="s">
        <v>225</v>
      </c>
      <c r="BF727" t="s">
        <v>225</v>
      </c>
      <c r="BG727" t="s">
        <v>37</v>
      </c>
      <c r="BH727">
        <v>2</v>
      </c>
      <c r="BI727" t="s">
        <v>506</v>
      </c>
      <c r="CG727" t="s">
        <v>10</v>
      </c>
      <c r="CH727" t="s">
        <v>242</v>
      </c>
      <c r="CI727">
        <v>44629</v>
      </c>
      <c r="CJ727" t="s">
        <v>504</v>
      </c>
    </row>
    <row r="728" spans="1:88" x14ac:dyDescent="0.25">
      <c r="A728" t="s">
        <v>16</v>
      </c>
      <c r="B728" t="s">
        <v>130</v>
      </c>
      <c r="C728" t="s">
        <v>383</v>
      </c>
      <c r="D728">
        <v>83037</v>
      </c>
      <c r="E728">
        <v>9</v>
      </c>
      <c r="F728" s="24" t="str">
        <f t="shared" si="61"/>
        <v>2024-5</v>
      </c>
      <c r="O728" t="s">
        <v>29</v>
      </c>
      <c r="P728" t="s">
        <v>295</v>
      </c>
      <c r="Q728">
        <v>5</v>
      </c>
      <c r="AA728">
        <v>83037</v>
      </c>
      <c r="AB728" t="s">
        <v>130</v>
      </c>
      <c r="AD728">
        <f t="shared" si="59"/>
        <v>0</v>
      </c>
      <c r="AE728">
        <f t="shared" si="60"/>
        <v>0</v>
      </c>
      <c r="AG728" t="s">
        <v>29</v>
      </c>
      <c r="AH728" t="s">
        <v>295</v>
      </c>
      <c r="BF728" t="s">
        <v>295</v>
      </c>
      <c r="BG728" t="s">
        <v>29</v>
      </c>
      <c r="BH728">
        <v>5</v>
      </c>
      <c r="BI728" t="s">
        <v>506</v>
      </c>
      <c r="CG728" t="s">
        <v>16</v>
      </c>
      <c r="CH728" t="s">
        <v>130</v>
      </c>
      <c r="CI728">
        <v>83037</v>
      </c>
      <c r="CJ728" t="s">
        <v>504</v>
      </c>
    </row>
    <row r="729" spans="1:88" x14ac:dyDescent="0.25">
      <c r="A729" t="s">
        <v>21</v>
      </c>
      <c r="B729" t="s">
        <v>244</v>
      </c>
      <c r="C729" t="s">
        <v>383</v>
      </c>
      <c r="D729">
        <v>22640</v>
      </c>
      <c r="E729">
        <v>0</v>
      </c>
      <c r="F729" s="24" t="str">
        <f t="shared" si="61"/>
        <v>2024-5</v>
      </c>
      <c r="O729" t="s">
        <v>21</v>
      </c>
      <c r="P729" t="s">
        <v>70</v>
      </c>
      <c r="Q729">
        <v>7</v>
      </c>
      <c r="AA729">
        <v>22640</v>
      </c>
      <c r="AB729" t="s">
        <v>244</v>
      </c>
      <c r="AD729">
        <f t="shared" si="59"/>
        <v>0</v>
      </c>
      <c r="AE729">
        <f t="shared" si="60"/>
        <v>0</v>
      </c>
      <c r="AG729" t="s">
        <v>21</v>
      </c>
      <c r="AH729" t="s">
        <v>70</v>
      </c>
      <c r="BF729" t="s">
        <v>70</v>
      </c>
      <c r="BG729" t="s">
        <v>21</v>
      </c>
      <c r="BH729">
        <v>7</v>
      </c>
      <c r="BI729" t="s">
        <v>506</v>
      </c>
      <c r="CG729" t="s">
        <v>21</v>
      </c>
      <c r="CH729" t="s">
        <v>244</v>
      </c>
      <c r="CI729">
        <v>22640</v>
      </c>
      <c r="CJ729" t="s">
        <v>504</v>
      </c>
    </row>
    <row r="730" spans="1:88" x14ac:dyDescent="0.25">
      <c r="A730" t="s">
        <v>53</v>
      </c>
      <c r="B730" t="s">
        <v>17</v>
      </c>
      <c r="C730" t="s">
        <v>383</v>
      </c>
      <c r="D730">
        <v>76853</v>
      </c>
      <c r="E730">
        <v>3</v>
      </c>
      <c r="F730" s="24" t="str">
        <f t="shared" si="61"/>
        <v>2024-5</v>
      </c>
      <c r="O730" t="s">
        <v>14</v>
      </c>
      <c r="P730" t="s">
        <v>284</v>
      </c>
      <c r="Q730">
        <v>7</v>
      </c>
      <c r="AA730">
        <v>76853</v>
      </c>
      <c r="AB730" t="s">
        <v>17</v>
      </c>
      <c r="AD730">
        <f t="shared" si="59"/>
        <v>0</v>
      </c>
      <c r="AE730">
        <f t="shared" si="60"/>
        <v>0</v>
      </c>
      <c r="AG730" t="s">
        <v>14</v>
      </c>
      <c r="AH730" t="s">
        <v>284</v>
      </c>
      <c r="BF730" t="s">
        <v>284</v>
      </c>
      <c r="BG730" t="s">
        <v>14</v>
      </c>
      <c r="BH730">
        <v>7</v>
      </c>
      <c r="BI730" t="s">
        <v>506</v>
      </c>
      <c r="CG730" t="s">
        <v>53</v>
      </c>
      <c r="CH730" t="s">
        <v>17</v>
      </c>
      <c r="CI730">
        <v>76853</v>
      </c>
      <c r="CJ730" t="s">
        <v>504</v>
      </c>
    </row>
    <row r="731" spans="1:88" x14ac:dyDescent="0.25">
      <c r="A731" t="s">
        <v>37</v>
      </c>
      <c r="B731" t="s">
        <v>42</v>
      </c>
      <c r="C731" t="s">
        <v>383</v>
      </c>
      <c r="D731">
        <v>40401</v>
      </c>
      <c r="E731">
        <v>5</v>
      </c>
      <c r="F731" s="24" t="str">
        <f t="shared" si="61"/>
        <v>2024-5</v>
      </c>
      <c r="O731" t="s">
        <v>10</v>
      </c>
      <c r="P731" t="s">
        <v>300</v>
      </c>
      <c r="Q731">
        <v>8</v>
      </c>
      <c r="AA731">
        <v>40401</v>
      </c>
      <c r="AB731" t="s">
        <v>42</v>
      </c>
      <c r="AD731">
        <f t="shared" si="59"/>
        <v>0</v>
      </c>
      <c r="AE731">
        <f t="shared" si="60"/>
        <v>0</v>
      </c>
      <c r="AG731" t="s">
        <v>10</v>
      </c>
      <c r="AH731" t="s">
        <v>300</v>
      </c>
      <c r="BF731" t="s">
        <v>300</v>
      </c>
      <c r="BG731" t="s">
        <v>10</v>
      </c>
      <c r="BH731">
        <v>8</v>
      </c>
      <c r="BI731" t="s">
        <v>506</v>
      </c>
      <c r="CG731" t="s">
        <v>37</v>
      </c>
      <c r="CH731" t="s">
        <v>42</v>
      </c>
      <c r="CI731">
        <v>40401</v>
      </c>
      <c r="CJ731" t="s">
        <v>504</v>
      </c>
    </row>
    <row r="732" spans="1:88" x14ac:dyDescent="0.25">
      <c r="A732" t="s">
        <v>10</v>
      </c>
      <c r="B732" t="s">
        <v>284</v>
      </c>
      <c r="C732" t="s">
        <v>384</v>
      </c>
      <c r="D732">
        <v>41583</v>
      </c>
      <c r="E732">
        <v>3</v>
      </c>
      <c r="F732" s="24" t="str">
        <f t="shared" si="61"/>
        <v>2024-5</v>
      </c>
      <c r="O732" t="s">
        <v>75</v>
      </c>
      <c r="P732" t="s">
        <v>70</v>
      </c>
      <c r="Q732">
        <v>7</v>
      </c>
      <c r="AA732">
        <v>41583</v>
      </c>
      <c r="AB732" t="s">
        <v>284</v>
      </c>
      <c r="AD732">
        <f t="shared" si="59"/>
        <v>0</v>
      </c>
      <c r="AE732">
        <f t="shared" si="60"/>
        <v>0</v>
      </c>
      <c r="AG732" t="s">
        <v>75</v>
      </c>
      <c r="AH732" t="s">
        <v>70</v>
      </c>
      <c r="BF732" t="s">
        <v>70</v>
      </c>
      <c r="BG732" t="s">
        <v>75</v>
      </c>
      <c r="BH732">
        <v>7</v>
      </c>
      <c r="BI732" t="s">
        <v>506</v>
      </c>
      <c r="CG732" t="s">
        <v>10</v>
      </c>
      <c r="CH732" t="s">
        <v>284</v>
      </c>
      <c r="CI732">
        <v>41583</v>
      </c>
      <c r="CJ732" t="s">
        <v>504</v>
      </c>
    </row>
    <row r="733" spans="1:88" x14ac:dyDescent="0.25">
      <c r="A733" t="s">
        <v>10</v>
      </c>
      <c r="B733" t="s">
        <v>385</v>
      </c>
      <c r="C733" t="s">
        <v>386</v>
      </c>
      <c r="D733">
        <v>35642</v>
      </c>
      <c r="E733">
        <v>4</v>
      </c>
      <c r="F733" s="24" t="str">
        <f t="shared" si="61"/>
        <v>2024-5</v>
      </c>
      <c r="O733" t="s">
        <v>16</v>
      </c>
      <c r="P733" t="s">
        <v>220</v>
      </c>
      <c r="Q733">
        <v>5</v>
      </c>
      <c r="AA733">
        <v>35642</v>
      </c>
      <c r="AB733" t="s">
        <v>385</v>
      </c>
      <c r="AD733">
        <f t="shared" si="59"/>
        <v>0</v>
      </c>
      <c r="AE733">
        <f t="shared" si="60"/>
        <v>0</v>
      </c>
      <c r="AG733" t="s">
        <v>16</v>
      </c>
      <c r="AH733" t="s">
        <v>220</v>
      </c>
      <c r="BF733" t="s">
        <v>220</v>
      </c>
      <c r="BG733" t="s">
        <v>16</v>
      </c>
      <c r="BH733">
        <v>5</v>
      </c>
      <c r="BI733" t="s">
        <v>506</v>
      </c>
      <c r="CG733" t="s">
        <v>10</v>
      </c>
      <c r="CH733" t="s">
        <v>385</v>
      </c>
      <c r="CI733">
        <v>35642</v>
      </c>
      <c r="CJ733" t="s">
        <v>504</v>
      </c>
    </row>
    <row r="734" spans="1:88" x14ac:dyDescent="0.25">
      <c r="A734" t="s">
        <v>75</v>
      </c>
      <c r="B734" t="s">
        <v>237</v>
      </c>
      <c r="C734" t="s">
        <v>386</v>
      </c>
      <c r="D734">
        <v>18706</v>
      </c>
      <c r="E734">
        <v>6</v>
      </c>
      <c r="F734" s="24" t="str">
        <f t="shared" si="61"/>
        <v>2024-5</v>
      </c>
      <c r="O734" t="s">
        <v>75</v>
      </c>
      <c r="P734" t="s">
        <v>122</v>
      </c>
      <c r="Q734">
        <v>3</v>
      </c>
      <c r="AA734">
        <v>18706</v>
      </c>
      <c r="AB734" t="s">
        <v>237</v>
      </c>
      <c r="AD734">
        <f t="shared" si="59"/>
        <v>0</v>
      </c>
      <c r="AE734">
        <f t="shared" si="60"/>
        <v>0</v>
      </c>
      <c r="AG734" t="s">
        <v>75</v>
      </c>
      <c r="AH734" t="s">
        <v>122</v>
      </c>
      <c r="BF734" t="s">
        <v>122</v>
      </c>
      <c r="BG734" t="s">
        <v>75</v>
      </c>
      <c r="BH734">
        <v>3</v>
      </c>
      <c r="BI734" t="s">
        <v>506</v>
      </c>
      <c r="CG734" t="s">
        <v>75</v>
      </c>
      <c r="CH734" t="s">
        <v>237</v>
      </c>
      <c r="CI734">
        <v>18706</v>
      </c>
      <c r="CJ734" t="s">
        <v>504</v>
      </c>
    </row>
    <row r="735" spans="1:88" x14ac:dyDescent="0.25">
      <c r="A735" t="s">
        <v>5</v>
      </c>
      <c r="B735" t="s">
        <v>122</v>
      </c>
      <c r="C735" t="s">
        <v>386</v>
      </c>
      <c r="D735">
        <v>24150</v>
      </c>
      <c r="E735">
        <v>8</v>
      </c>
      <c r="F735" s="24" t="str">
        <f t="shared" si="61"/>
        <v>2024-5</v>
      </c>
      <c r="O735" t="s">
        <v>53</v>
      </c>
      <c r="P735" t="s">
        <v>237</v>
      </c>
      <c r="Q735">
        <v>7</v>
      </c>
      <c r="AA735">
        <v>24150</v>
      </c>
      <c r="AB735" t="s">
        <v>122</v>
      </c>
      <c r="AD735">
        <f t="shared" si="59"/>
        <v>0</v>
      </c>
      <c r="AE735">
        <f t="shared" si="60"/>
        <v>0</v>
      </c>
      <c r="AG735" t="s">
        <v>53</v>
      </c>
      <c r="AH735" t="s">
        <v>237</v>
      </c>
      <c r="BF735" t="s">
        <v>237</v>
      </c>
      <c r="BG735" t="s">
        <v>53</v>
      </c>
      <c r="BH735">
        <v>7</v>
      </c>
      <c r="BI735" t="s">
        <v>506</v>
      </c>
      <c r="CG735" t="s">
        <v>5</v>
      </c>
      <c r="CH735" t="s">
        <v>122</v>
      </c>
      <c r="CI735">
        <v>24150</v>
      </c>
      <c r="CJ735" t="s">
        <v>504</v>
      </c>
    </row>
    <row r="736" spans="1:88" x14ac:dyDescent="0.25">
      <c r="A736" t="s">
        <v>75</v>
      </c>
      <c r="B736" t="s">
        <v>44</v>
      </c>
      <c r="C736" t="s">
        <v>386</v>
      </c>
      <c r="D736">
        <v>71973</v>
      </c>
      <c r="E736">
        <v>2</v>
      </c>
      <c r="F736" s="24" t="str">
        <f t="shared" si="61"/>
        <v>2024-5</v>
      </c>
      <c r="O736" t="s">
        <v>53</v>
      </c>
      <c r="P736" t="s">
        <v>149</v>
      </c>
      <c r="Q736">
        <v>5</v>
      </c>
      <c r="AA736">
        <v>71973</v>
      </c>
      <c r="AB736" t="s">
        <v>44</v>
      </c>
      <c r="AD736">
        <f t="shared" si="59"/>
        <v>0</v>
      </c>
      <c r="AE736">
        <f t="shared" si="60"/>
        <v>0</v>
      </c>
      <c r="AG736" t="s">
        <v>53</v>
      </c>
      <c r="AH736" t="s">
        <v>149</v>
      </c>
      <c r="BF736" t="s">
        <v>149</v>
      </c>
      <c r="BG736" t="s">
        <v>53</v>
      </c>
      <c r="BH736">
        <v>5</v>
      </c>
      <c r="BI736" t="s">
        <v>506</v>
      </c>
      <c r="CG736" t="s">
        <v>75</v>
      </c>
      <c r="CH736" t="s">
        <v>44</v>
      </c>
      <c r="CI736">
        <v>71973</v>
      </c>
      <c r="CJ736" t="s">
        <v>504</v>
      </c>
    </row>
    <row r="737" spans="1:88" x14ac:dyDescent="0.25">
      <c r="A737" t="s">
        <v>53</v>
      </c>
      <c r="B737" t="s">
        <v>27</v>
      </c>
      <c r="C737" t="s">
        <v>386</v>
      </c>
      <c r="D737">
        <v>94283</v>
      </c>
      <c r="E737">
        <v>7</v>
      </c>
      <c r="F737" s="24" t="str">
        <f t="shared" si="61"/>
        <v>2024-5</v>
      </c>
      <c r="O737" t="s">
        <v>75</v>
      </c>
      <c r="P737" t="s">
        <v>25</v>
      </c>
      <c r="Q737">
        <v>8</v>
      </c>
      <c r="AA737">
        <v>94283</v>
      </c>
      <c r="AB737" t="s">
        <v>27</v>
      </c>
      <c r="AD737">
        <f t="shared" si="59"/>
        <v>0</v>
      </c>
      <c r="AE737">
        <f t="shared" si="60"/>
        <v>0</v>
      </c>
      <c r="AG737" t="s">
        <v>75</v>
      </c>
      <c r="AH737" t="s">
        <v>25</v>
      </c>
      <c r="BF737" t="s">
        <v>25</v>
      </c>
      <c r="BG737" t="s">
        <v>75</v>
      </c>
      <c r="BH737">
        <v>8</v>
      </c>
      <c r="BI737" t="s">
        <v>506</v>
      </c>
      <c r="CG737" t="s">
        <v>53</v>
      </c>
      <c r="CH737" t="s">
        <v>27</v>
      </c>
      <c r="CI737">
        <v>94283</v>
      </c>
      <c r="CJ737" t="s">
        <v>504</v>
      </c>
    </row>
    <row r="738" spans="1:88" x14ac:dyDescent="0.25">
      <c r="A738" t="s">
        <v>75</v>
      </c>
      <c r="B738" t="s">
        <v>88</v>
      </c>
      <c r="C738" t="s">
        <v>386</v>
      </c>
      <c r="D738">
        <v>50198</v>
      </c>
      <c r="E738">
        <v>5</v>
      </c>
      <c r="F738" s="24" t="str">
        <f t="shared" si="61"/>
        <v>2024-5</v>
      </c>
      <c r="O738" t="s">
        <v>53</v>
      </c>
      <c r="P738" t="s">
        <v>202</v>
      </c>
      <c r="Q738">
        <v>9</v>
      </c>
      <c r="AA738">
        <v>50198</v>
      </c>
      <c r="AB738" t="s">
        <v>88</v>
      </c>
      <c r="AD738">
        <f t="shared" si="59"/>
        <v>0</v>
      </c>
      <c r="AE738">
        <f t="shared" si="60"/>
        <v>0</v>
      </c>
      <c r="AG738" t="s">
        <v>53</v>
      </c>
      <c r="AH738" t="s">
        <v>202</v>
      </c>
      <c r="BF738" t="s">
        <v>202</v>
      </c>
      <c r="BG738" t="s">
        <v>53</v>
      </c>
      <c r="BH738">
        <v>9</v>
      </c>
      <c r="BI738" t="s">
        <v>506</v>
      </c>
      <c r="CG738" t="s">
        <v>75</v>
      </c>
      <c r="CH738" t="s">
        <v>88</v>
      </c>
      <c r="CI738">
        <v>50198</v>
      </c>
      <c r="CJ738" t="s">
        <v>504</v>
      </c>
    </row>
    <row r="739" spans="1:88" x14ac:dyDescent="0.25">
      <c r="A739" t="s">
        <v>16</v>
      </c>
      <c r="B739" t="s">
        <v>125</v>
      </c>
      <c r="C739" t="s">
        <v>386</v>
      </c>
      <c r="D739">
        <v>42770</v>
      </c>
      <c r="E739">
        <v>8</v>
      </c>
      <c r="F739" s="24" t="str">
        <f t="shared" si="61"/>
        <v>2024-5</v>
      </c>
      <c r="O739" t="s">
        <v>10</v>
      </c>
      <c r="P739" t="s">
        <v>26</v>
      </c>
      <c r="Q739">
        <v>7</v>
      </c>
      <c r="AA739">
        <v>42770</v>
      </c>
      <c r="AB739" t="s">
        <v>125</v>
      </c>
      <c r="AD739">
        <f t="shared" si="59"/>
        <v>0</v>
      </c>
      <c r="AE739">
        <f t="shared" si="60"/>
        <v>0</v>
      </c>
      <c r="AG739" t="s">
        <v>10</v>
      </c>
      <c r="AH739" t="s">
        <v>26</v>
      </c>
      <c r="BF739" t="s">
        <v>26</v>
      </c>
      <c r="BG739" t="s">
        <v>10</v>
      </c>
      <c r="BH739">
        <v>7</v>
      </c>
      <c r="BI739" t="s">
        <v>506</v>
      </c>
      <c r="CG739" t="s">
        <v>16</v>
      </c>
      <c r="CH739" t="s">
        <v>125</v>
      </c>
      <c r="CI739">
        <v>42770</v>
      </c>
      <c r="CJ739" t="s">
        <v>504</v>
      </c>
    </row>
    <row r="740" spans="1:88" x14ac:dyDescent="0.25">
      <c r="A740" t="s">
        <v>55</v>
      </c>
      <c r="B740" t="s">
        <v>130</v>
      </c>
      <c r="C740" t="s">
        <v>386</v>
      </c>
      <c r="D740">
        <v>44488</v>
      </c>
      <c r="E740">
        <v>3</v>
      </c>
      <c r="F740" s="24" t="str">
        <f t="shared" si="61"/>
        <v>2024-5</v>
      </c>
      <c r="O740" t="s">
        <v>37</v>
      </c>
      <c r="P740" t="s">
        <v>12</v>
      </c>
      <c r="Q740">
        <v>6</v>
      </c>
      <c r="AA740">
        <v>44488</v>
      </c>
      <c r="AB740" t="s">
        <v>130</v>
      </c>
      <c r="AD740">
        <f t="shared" si="59"/>
        <v>0</v>
      </c>
      <c r="AE740">
        <f t="shared" si="60"/>
        <v>0</v>
      </c>
      <c r="AG740" t="s">
        <v>37</v>
      </c>
      <c r="AH740" t="s">
        <v>12</v>
      </c>
      <c r="BF740" t="s">
        <v>12</v>
      </c>
      <c r="BG740" t="s">
        <v>37</v>
      </c>
      <c r="BH740">
        <v>6</v>
      </c>
      <c r="BI740" t="s">
        <v>506</v>
      </c>
      <c r="CG740" t="s">
        <v>55</v>
      </c>
      <c r="CH740" t="s">
        <v>130</v>
      </c>
      <c r="CI740">
        <v>44488</v>
      </c>
      <c r="CJ740" t="s">
        <v>504</v>
      </c>
    </row>
    <row r="741" spans="1:88" x14ac:dyDescent="0.25">
      <c r="A741" t="s">
        <v>29</v>
      </c>
      <c r="B741" t="s">
        <v>192</v>
      </c>
      <c r="C741" t="s">
        <v>386</v>
      </c>
      <c r="D741">
        <v>59497</v>
      </c>
      <c r="E741">
        <v>7</v>
      </c>
      <c r="F741" s="24" t="str">
        <f t="shared" si="61"/>
        <v>2024-5</v>
      </c>
      <c r="O741" t="s">
        <v>8</v>
      </c>
      <c r="P741" t="s">
        <v>158</v>
      </c>
      <c r="Q741">
        <v>9</v>
      </c>
      <c r="AA741">
        <v>59497</v>
      </c>
      <c r="AB741" t="s">
        <v>192</v>
      </c>
      <c r="AD741">
        <f t="shared" si="59"/>
        <v>0</v>
      </c>
      <c r="AE741">
        <f t="shared" si="60"/>
        <v>0</v>
      </c>
      <c r="AG741" t="s">
        <v>8</v>
      </c>
      <c r="AH741" t="s">
        <v>158</v>
      </c>
      <c r="BF741" t="s">
        <v>158</v>
      </c>
      <c r="BG741" t="s">
        <v>8</v>
      </c>
      <c r="BH741">
        <v>9</v>
      </c>
      <c r="BI741" t="s">
        <v>506</v>
      </c>
      <c r="CG741" t="s">
        <v>29</v>
      </c>
      <c r="CH741" t="s">
        <v>192</v>
      </c>
      <c r="CI741">
        <v>59497</v>
      </c>
      <c r="CJ741" t="s">
        <v>504</v>
      </c>
    </row>
    <row r="742" spans="1:88" x14ac:dyDescent="0.25">
      <c r="A742" t="s">
        <v>75</v>
      </c>
      <c r="B742" t="s">
        <v>210</v>
      </c>
      <c r="C742" t="s">
        <v>387</v>
      </c>
      <c r="D742">
        <v>89231</v>
      </c>
      <c r="E742">
        <v>4</v>
      </c>
      <c r="F742" s="24" t="str">
        <f t="shared" si="61"/>
        <v>2024-5</v>
      </c>
      <c r="O742" t="s">
        <v>8</v>
      </c>
      <c r="P742" t="s">
        <v>98</v>
      </c>
      <c r="Q742">
        <v>7</v>
      </c>
      <c r="AA742">
        <v>89231</v>
      </c>
      <c r="AB742" t="s">
        <v>210</v>
      </c>
      <c r="AD742">
        <f t="shared" si="59"/>
        <v>0</v>
      </c>
      <c r="AE742">
        <f t="shared" si="60"/>
        <v>0</v>
      </c>
      <c r="AG742" t="s">
        <v>8</v>
      </c>
      <c r="AH742" t="s">
        <v>98</v>
      </c>
      <c r="BF742" t="s">
        <v>98</v>
      </c>
      <c r="BG742" t="s">
        <v>8</v>
      </c>
      <c r="BH742">
        <v>7</v>
      </c>
      <c r="BI742" t="s">
        <v>506</v>
      </c>
      <c r="CG742" t="s">
        <v>75</v>
      </c>
      <c r="CH742" t="s">
        <v>210</v>
      </c>
      <c r="CI742">
        <v>89231</v>
      </c>
      <c r="CJ742" t="s">
        <v>504</v>
      </c>
    </row>
    <row r="743" spans="1:88" x14ac:dyDescent="0.25">
      <c r="A743" t="s">
        <v>8</v>
      </c>
      <c r="B743" t="s">
        <v>231</v>
      </c>
      <c r="C743" t="s">
        <v>387</v>
      </c>
      <c r="D743">
        <v>75626</v>
      </c>
      <c r="E743">
        <v>6</v>
      </c>
      <c r="F743" s="24" t="str">
        <f t="shared" si="61"/>
        <v>2024-5</v>
      </c>
      <c r="O743" t="s">
        <v>75</v>
      </c>
      <c r="P743" t="s">
        <v>81</v>
      </c>
      <c r="Q743">
        <v>6</v>
      </c>
      <c r="AA743">
        <v>75626</v>
      </c>
      <c r="AB743" t="s">
        <v>231</v>
      </c>
      <c r="AD743">
        <f t="shared" si="59"/>
        <v>0</v>
      </c>
      <c r="AE743">
        <f t="shared" si="60"/>
        <v>0</v>
      </c>
      <c r="AG743" t="s">
        <v>75</v>
      </c>
      <c r="AH743" t="s">
        <v>81</v>
      </c>
      <c r="BF743" t="s">
        <v>81</v>
      </c>
      <c r="BG743" t="s">
        <v>75</v>
      </c>
      <c r="BH743">
        <v>6</v>
      </c>
      <c r="BI743" t="s">
        <v>506</v>
      </c>
      <c r="CG743" t="s">
        <v>8</v>
      </c>
      <c r="CH743" t="s">
        <v>231</v>
      </c>
      <c r="CI743">
        <v>75626</v>
      </c>
      <c r="CJ743" t="s">
        <v>504</v>
      </c>
    </row>
    <row r="744" spans="1:88" x14ac:dyDescent="0.25">
      <c r="A744" t="s">
        <v>75</v>
      </c>
      <c r="B744" t="s">
        <v>180</v>
      </c>
      <c r="C744" t="s">
        <v>387</v>
      </c>
      <c r="D744">
        <v>81142</v>
      </c>
      <c r="E744">
        <v>8</v>
      </c>
      <c r="F744" s="24" t="str">
        <f t="shared" si="61"/>
        <v>2024-5</v>
      </c>
      <c r="O744" t="s">
        <v>55</v>
      </c>
      <c r="P744" t="s">
        <v>268</v>
      </c>
      <c r="Q744">
        <v>6</v>
      </c>
      <c r="AA744">
        <v>81142</v>
      </c>
      <c r="AB744" t="s">
        <v>180</v>
      </c>
      <c r="AD744">
        <f t="shared" si="59"/>
        <v>0</v>
      </c>
      <c r="AE744">
        <f t="shared" si="60"/>
        <v>0</v>
      </c>
      <c r="AG744" t="s">
        <v>55</v>
      </c>
      <c r="AH744" t="s">
        <v>268</v>
      </c>
      <c r="BF744" t="s">
        <v>268</v>
      </c>
      <c r="BG744" t="s">
        <v>55</v>
      </c>
      <c r="BH744">
        <v>6</v>
      </c>
      <c r="BI744" t="s">
        <v>506</v>
      </c>
      <c r="CG744" t="s">
        <v>75</v>
      </c>
      <c r="CH744" t="s">
        <v>180</v>
      </c>
      <c r="CI744">
        <v>81142</v>
      </c>
      <c r="CJ744" t="s">
        <v>504</v>
      </c>
    </row>
    <row r="745" spans="1:88" x14ac:dyDescent="0.25">
      <c r="A745" t="s">
        <v>5</v>
      </c>
      <c r="B745" t="s">
        <v>22</v>
      </c>
      <c r="C745" t="s">
        <v>388</v>
      </c>
      <c r="D745">
        <v>78770</v>
      </c>
      <c r="E745">
        <v>10</v>
      </c>
      <c r="F745" s="24" t="str">
        <f t="shared" si="61"/>
        <v>2024-5</v>
      </c>
      <c r="O745" t="s">
        <v>75</v>
      </c>
      <c r="P745" t="s">
        <v>319</v>
      </c>
      <c r="Q745">
        <v>9</v>
      </c>
      <c r="AA745">
        <v>78770</v>
      </c>
      <c r="AB745" t="s">
        <v>22</v>
      </c>
      <c r="AD745">
        <f t="shared" si="59"/>
        <v>0</v>
      </c>
      <c r="AE745">
        <f t="shared" si="60"/>
        <v>0</v>
      </c>
      <c r="AG745" t="s">
        <v>75</v>
      </c>
      <c r="AH745" t="s">
        <v>319</v>
      </c>
      <c r="BF745" t="s">
        <v>319</v>
      </c>
      <c r="BG745" t="s">
        <v>75</v>
      </c>
      <c r="BH745">
        <v>9</v>
      </c>
      <c r="BI745" t="s">
        <v>507</v>
      </c>
      <c r="CG745" t="s">
        <v>5</v>
      </c>
      <c r="CH745" t="s">
        <v>22</v>
      </c>
      <c r="CI745">
        <v>78770</v>
      </c>
      <c r="CJ745" t="s">
        <v>504</v>
      </c>
    </row>
    <row r="746" spans="1:88" x14ac:dyDescent="0.25">
      <c r="A746" t="s">
        <v>16</v>
      </c>
      <c r="B746" t="s">
        <v>24</v>
      </c>
      <c r="C746" t="s">
        <v>388</v>
      </c>
      <c r="D746">
        <v>45241</v>
      </c>
      <c r="E746">
        <v>7</v>
      </c>
      <c r="F746" s="24" t="str">
        <f t="shared" si="61"/>
        <v>2024-5</v>
      </c>
      <c r="O746" t="s">
        <v>8</v>
      </c>
      <c r="P746" t="s">
        <v>214</v>
      </c>
      <c r="Q746">
        <v>2</v>
      </c>
      <c r="AA746">
        <v>45241</v>
      </c>
      <c r="AB746" t="s">
        <v>24</v>
      </c>
      <c r="AD746">
        <f t="shared" si="59"/>
        <v>0</v>
      </c>
      <c r="AE746">
        <f t="shared" si="60"/>
        <v>0</v>
      </c>
      <c r="AG746" t="s">
        <v>8</v>
      </c>
      <c r="AH746" t="s">
        <v>214</v>
      </c>
      <c r="BF746" t="s">
        <v>214</v>
      </c>
      <c r="BG746" t="s">
        <v>8</v>
      </c>
      <c r="BH746">
        <v>2</v>
      </c>
      <c r="BI746" t="s">
        <v>507</v>
      </c>
      <c r="CG746" t="s">
        <v>16</v>
      </c>
      <c r="CH746" t="s">
        <v>24</v>
      </c>
      <c r="CI746">
        <v>45241</v>
      </c>
      <c r="CJ746" t="s">
        <v>504</v>
      </c>
    </row>
    <row r="747" spans="1:88" x14ac:dyDescent="0.25">
      <c r="A747" t="s">
        <v>14</v>
      </c>
      <c r="B747" t="s">
        <v>31</v>
      </c>
      <c r="C747" t="s">
        <v>388</v>
      </c>
      <c r="D747">
        <v>44435</v>
      </c>
      <c r="E747">
        <v>8</v>
      </c>
      <c r="F747" s="24" t="str">
        <f t="shared" si="61"/>
        <v>2024-5</v>
      </c>
      <c r="O747" t="s">
        <v>16</v>
      </c>
      <c r="P747" t="s">
        <v>194</v>
      </c>
      <c r="Q747">
        <v>7</v>
      </c>
      <c r="AA747">
        <v>44435</v>
      </c>
      <c r="AB747" t="s">
        <v>31</v>
      </c>
      <c r="AD747">
        <f t="shared" si="59"/>
        <v>0</v>
      </c>
      <c r="AE747">
        <f t="shared" si="60"/>
        <v>0</v>
      </c>
      <c r="AG747" t="s">
        <v>16</v>
      </c>
      <c r="AH747" t="s">
        <v>194</v>
      </c>
      <c r="BF747" t="s">
        <v>194</v>
      </c>
      <c r="BG747" t="s">
        <v>16</v>
      </c>
      <c r="BH747">
        <v>7</v>
      </c>
      <c r="BI747" t="s">
        <v>507</v>
      </c>
      <c r="CG747" t="s">
        <v>14</v>
      </c>
      <c r="CH747" t="s">
        <v>31</v>
      </c>
      <c r="CI747">
        <v>44435</v>
      </c>
      <c r="CJ747" t="s">
        <v>504</v>
      </c>
    </row>
    <row r="748" spans="1:88" x14ac:dyDescent="0.25">
      <c r="A748" t="s">
        <v>75</v>
      </c>
      <c r="B748" t="s">
        <v>206</v>
      </c>
      <c r="C748" t="s">
        <v>388</v>
      </c>
      <c r="D748">
        <v>49868</v>
      </c>
      <c r="E748">
        <v>8</v>
      </c>
      <c r="F748" s="24" t="str">
        <f t="shared" si="61"/>
        <v>2024-5</v>
      </c>
      <c r="O748" t="s">
        <v>53</v>
      </c>
      <c r="P748" t="s">
        <v>43</v>
      </c>
      <c r="Q748">
        <v>5</v>
      </c>
      <c r="AA748">
        <v>49868</v>
      </c>
      <c r="AB748" t="s">
        <v>206</v>
      </c>
      <c r="AD748">
        <f t="shared" si="59"/>
        <v>0</v>
      </c>
      <c r="AE748">
        <f t="shared" si="60"/>
        <v>0</v>
      </c>
      <c r="AG748" t="s">
        <v>53</v>
      </c>
      <c r="AH748" t="s">
        <v>43</v>
      </c>
      <c r="BF748" t="s">
        <v>43</v>
      </c>
      <c r="BG748" t="s">
        <v>53</v>
      </c>
      <c r="BH748">
        <v>5</v>
      </c>
      <c r="BI748" t="s">
        <v>507</v>
      </c>
      <c r="CG748" t="s">
        <v>75</v>
      </c>
      <c r="CH748" t="s">
        <v>206</v>
      </c>
      <c r="CI748">
        <v>49868</v>
      </c>
      <c r="CJ748" t="s">
        <v>504</v>
      </c>
    </row>
    <row r="749" spans="1:88" x14ac:dyDescent="0.25">
      <c r="A749" t="s">
        <v>37</v>
      </c>
      <c r="B749" t="s">
        <v>144</v>
      </c>
      <c r="C749" t="s">
        <v>389</v>
      </c>
      <c r="D749">
        <v>77962</v>
      </c>
      <c r="E749">
        <v>7</v>
      </c>
      <c r="F749" s="24" t="str">
        <f t="shared" si="61"/>
        <v>2024-5</v>
      </c>
      <c r="O749" t="s">
        <v>75</v>
      </c>
      <c r="P749" t="s">
        <v>179</v>
      </c>
      <c r="Q749">
        <v>8</v>
      </c>
      <c r="AA749">
        <v>77962</v>
      </c>
      <c r="AB749" t="s">
        <v>144</v>
      </c>
      <c r="AD749">
        <f t="shared" si="59"/>
        <v>0</v>
      </c>
      <c r="AE749">
        <f t="shared" si="60"/>
        <v>0</v>
      </c>
      <c r="AG749" t="s">
        <v>75</v>
      </c>
      <c r="AH749" t="s">
        <v>179</v>
      </c>
      <c r="BF749" t="s">
        <v>179</v>
      </c>
      <c r="BG749" t="s">
        <v>75</v>
      </c>
      <c r="BH749">
        <v>8</v>
      </c>
      <c r="BI749" t="s">
        <v>507</v>
      </c>
      <c r="CG749" t="s">
        <v>37</v>
      </c>
      <c r="CH749" t="s">
        <v>144</v>
      </c>
      <c r="CI749">
        <v>77962</v>
      </c>
      <c r="CJ749" t="s">
        <v>504</v>
      </c>
    </row>
    <row r="750" spans="1:88" x14ac:dyDescent="0.25">
      <c r="A750" t="s">
        <v>5</v>
      </c>
      <c r="B750" t="s">
        <v>92</v>
      </c>
      <c r="C750" t="s">
        <v>389</v>
      </c>
      <c r="D750">
        <v>67932</v>
      </c>
      <c r="E750">
        <v>8</v>
      </c>
      <c r="F750" s="24" t="str">
        <f t="shared" si="61"/>
        <v>2024-5</v>
      </c>
      <c r="O750" t="s">
        <v>53</v>
      </c>
      <c r="P750" t="s">
        <v>25</v>
      </c>
      <c r="Q750">
        <v>10</v>
      </c>
      <c r="AA750">
        <v>67932</v>
      </c>
      <c r="AB750" t="s">
        <v>92</v>
      </c>
      <c r="AD750">
        <f t="shared" si="59"/>
        <v>0</v>
      </c>
      <c r="AE750">
        <f t="shared" si="60"/>
        <v>0</v>
      </c>
      <c r="AG750" t="s">
        <v>53</v>
      </c>
      <c r="AH750" t="s">
        <v>25</v>
      </c>
      <c r="BF750" t="s">
        <v>25</v>
      </c>
      <c r="BG750" t="s">
        <v>53</v>
      </c>
      <c r="BH750">
        <v>10</v>
      </c>
      <c r="BI750" t="s">
        <v>507</v>
      </c>
      <c r="CG750" t="s">
        <v>5</v>
      </c>
      <c r="CH750" t="s">
        <v>92</v>
      </c>
      <c r="CI750">
        <v>67932</v>
      </c>
      <c r="CJ750" t="s">
        <v>504</v>
      </c>
    </row>
    <row r="751" spans="1:88" x14ac:dyDescent="0.25">
      <c r="A751" t="s">
        <v>5</v>
      </c>
      <c r="B751" t="s">
        <v>71</v>
      </c>
      <c r="C751" t="s">
        <v>389</v>
      </c>
      <c r="D751">
        <v>87670</v>
      </c>
      <c r="E751">
        <v>3</v>
      </c>
      <c r="F751" s="24" t="str">
        <f t="shared" si="61"/>
        <v>2024-5</v>
      </c>
      <c r="O751" t="s">
        <v>21</v>
      </c>
      <c r="P751" t="s">
        <v>33</v>
      </c>
      <c r="Q751">
        <v>8</v>
      </c>
      <c r="AA751">
        <v>87670</v>
      </c>
      <c r="AB751" t="s">
        <v>71</v>
      </c>
      <c r="AD751">
        <f t="shared" si="59"/>
        <v>0</v>
      </c>
      <c r="AE751">
        <f t="shared" si="60"/>
        <v>0</v>
      </c>
      <c r="AG751" t="s">
        <v>21</v>
      </c>
      <c r="AH751" t="s">
        <v>33</v>
      </c>
      <c r="BF751" t="s">
        <v>33</v>
      </c>
      <c r="BG751" t="s">
        <v>21</v>
      </c>
      <c r="BH751">
        <v>8</v>
      </c>
      <c r="BI751" t="s">
        <v>507</v>
      </c>
      <c r="CG751" t="s">
        <v>5</v>
      </c>
      <c r="CH751" t="s">
        <v>71</v>
      </c>
      <c r="CI751">
        <v>87670</v>
      </c>
      <c r="CJ751" t="s">
        <v>504</v>
      </c>
    </row>
    <row r="752" spans="1:88" x14ac:dyDescent="0.25">
      <c r="A752" t="s">
        <v>21</v>
      </c>
      <c r="B752" t="s">
        <v>127</v>
      </c>
      <c r="C752" t="s">
        <v>389</v>
      </c>
      <c r="D752">
        <v>48995</v>
      </c>
      <c r="E752">
        <v>6</v>
      </c>
      <c r="F752" s="24" t="str">
        <f t="shared" si="61"/>
        <v>2024-5</v>
      </c>
      <c r="O752" t="s">
        <v>5</v>
      </c>
      <c r="P752" t="s">
        <v>353</v>
      </c>
      <c r="Q752">
        <v>5</v>
      </c>
      <c r="AA752">
        <v>48995</v>
      </c>
      <c r="AB752" t="s">
        <v>127</v>
      </c>
      <c r="AD752">
        <f t="shared" si="59"/>
        <v>0</v>
      </c>
      <c r="AE752">
        <f t="shared" si="60"/>
        <v>0</v>
      </c>
      <c r="AG752" t="s">
        <v>5</v>
      </c>
      <c r="AH752" t="s">
        <v>353</v>
      </c>
      <c r="BF752" t="s">
        <v>353</v>
      </c>
      <c r="BG752" t="s">
        <v>5</v>
      </c>
      <c r="BH752">
        <v>5</v>
      </c>
      <c r="BI752" t="s">
        <v>507</v>
      </c>
      <c r="CG752" t="s">
        <v>21</v>
      </c>
      <c r="CH752" t="s">
        <v>127</v>
      </c>
      <c r="CI752">
        <v>48995</v>
      </c>
      <c r="CJ752" t="s">
        <v>504</v>
      </c>
    </row>
    <row r="753" spans="1:88" x14ac:dyDescent="0.25">
      <c r="A753" t="s">
        <v>10</v>
      </c>
      <c r="B753" t="s">
        <v>178</v>
      </c>
      <c r="C753" t="s">
        <v>389</v>
      </c>
      <c r="D753">
        <v>85600</v>
      </c>
      <c r="E753">
        <v>7</v>
      </c>
      <c r="F753" s="24" t="str">
        <f t="shared" si="61"/>
        <v>2024-5</v>
      </c>
      <c r="O753" t="s">
        <v>29</v>
      </c>
      <c r="P753" t="s">
        <v>66</v>
      </c>
      <c r="Q753">
        <v>10</v>
      </c>
      <c r="AA753">
        <v>85600</v>
      </c>
      <c r="AB753" t="s">
        <v>178</v>
      </c>
      <c r="AD753">
        <f t="shared" si="59"/>
        <v>0</v>
      </c>
      <c r="AE753">
        <f t="shared" si="60"/>
        <v>0</v>
      </c>
      <c r="AG753" t="s">
        <v>29</v>
      </c>
      <c r="AH753" t="s">
        <v>66</v>
      </c>
      <c r="BF753" t="s">
        <v>66</v>
      </c>
      <c r="BG753" t="s">
        <v>29</v>
      </c>
      <c r="BH753">
        <v>10</v>
      </c>
      <c r="BI753" t="s">
        <v>507</v>
      </c>
      <c r="CG753" t="s">
        <v>10</v>
      </c>
      <c r="CH753" t="s">
        <v>178</v>
      </c>
      <c r="CI753">
        <v>85600</v>
      </c>
      <c r="CJ753" t="s">
        <v>504</v>
      </c>
    </row>
    <row r="754" spans="1:88" x14ac:dyDescent="0.25">
      <c r="A754" t="s">
        <v>10</v>
      </c>
      <c r="B754" t="s">
        <v>50</v>
      </c>
      <c r="C754" t="s">
        <v>389</v>
      </c>
      <c r="D754">
        <v>86940</v>
      </c>
      <c r="E754">
        <v>4</v>
      </c>
      <c r="F754" s="24" t="str">
        <f t="shared" si="61"/>
        <v>2024-5</v>
      </c>
      <c r="O754" t="s">
        <v>53</v>
      </c>
      <c r="P754" t="s">
        <v>122</v>
      </c>
      <c r="Q754">
        <v>4</v>
      </c>
      <c r="AA754">
        <v>86940</v>
      </c>
      <c r="AB754" t="s">
        <v>50</v>
      </c>
      <c r="AD754">
        <f t="shared" si="59"/>
        <v>0</v>
      </c>
      <c r="AE754">
        <f t="shared" si="60"/>
        <v>0</v>
      </c>
      <c r="AG754" t="s">
        <v>53</v>
      </c>
      <c r="AH754" t="s">
        <v>122</v>
      </c>
      <c r="BF754" t="s">
        <v>122</v>
      </c>
      <c r="BG754" t="s">
        <v>53</v>
      </c>
      <c r="BH754">
        <v>4</v>
      </c>
      <c r="BI754" t="s">
        <v>507</v>
      </c>
      <c r="CG754" t="s">
        <v>10</v>
      </c>
      <c r="CH754" t="s">
        <v>50</v>
      </c>
      <c r="CI754">
        <v>86940</v>
      </c>
      <c r="CJ754" t="s">
        <v>504</v>
      </c>
    </row>
    <row r="755" spans="1:88" x14ac:dyDescent="0.25">
      <c r="A755" t="s">
        <v>16</v>
      </c>
      <c r="B755" t="s">
        <v>161</v>
      </c>
      <c r="C755" t="s">
        <v>389</v>
      </c>
      <c r="D755">
        <v>11993</v>
      </c>
      <c r="E755">
        <v>5</v>
      </c>
      <c r="F755" s="24" t="str">
        <f t="shared" si="61"/>
        <v>2024-5</v>
      </c>
      <c r="O755" t="s">
        <v>14</v>
      </c>
      <c r="P755" t="s">
        <v>275</v>
      </c>
      <c r="Q755">
        <v>9</v>
      </c>
      <c r="AA755">
        <v>11993</v>
      </c>
      <c r="AB755" t="s">
        <v>161</v>
      </c>
      <c r="AD755">
        <f t="shared" si="59"/>
        <v>0</v>
      </c>
      <c r="AE755">
        <f t="shared" si="60"/>
        <v>0</v>
      </c>
      <c r="AG755" t="s">
        <v>14</v>
      </c>
      <c r="AH755" t="s">
        <v>275</v>
      </c>
      <c r="BF755" t="s">
        <v>275</v>
      </c>
      <c r="BG755" t="s">
        <v>14</v>
      </c>
      <c r="BH755">
        <v>9</v>
      </c>
      <c r="BI755" t="s">
        <v>507</v>
      </c>
      <c r="CG755" t="s">
        <v>16</v>
      </c>
      <c r="CH755" t="s">
        <v>161</v>
      </c>
      <c r="CI755">
        <v>11993</v>
      </c>
      <c r="CJ755" t="s">
        <v>504</v>
      </c>
    </row>
    <row r="756" spans="1:88" x14ac:dyDescent="0.25">
      <c r="A756" t="s">
        <v>16</v>
      </c>
      <c r="B756" t="s">
        <v>177</v>
      </c>
      <c r="C756" t="s">
        <v>390</v>
      </c>
      <c r="D756">
        <v>86736</v>
      </c>
      <c r="E756">
        <v>3</v>
      </c>
      <c r="F756" s="24" t="str">
        <f t="shared" si="61"/>
        <v>2024-5</v>
      </c>
      <c r="O756" t="s">
        <v>75</v>
      </c>
      <c r="P756" t="s">
        <v>347</v>
      </c>
      <c r="Q756">
        <v>6</v>
      </c>
      <c r="AA756">
        <v>86736</v>
      </c>
      <c r="AB756" t="s">
        <v>177</v>
      </c>
      <c r="AD756">
        <f t="shared" si="59"/>
        <v>0</v>
      </c>
      <c r="AE756">
        <f t="shared" si="60"/>
        <v>0</v>
      </c>
      <c r="AG756" t="s">
        <v>75</v>
      </c>
      <c r="AH756" t="s">
        <v>347</v>
      </c>
      <c r="BF756" t="s">
        <v>347</v>
      </c>
      <c r="BG756" t="s">
        <v>75</v>
      </c>
      <c r="BH756">
        <v>6</v>
      </c>
      <c r="BI756" t="s">
        <v>507</v>
      </c>
      <c r="CG756" t="s">
        <v>16</v>
      </c>
      <c r="CH756" t="s">
        <v>177</v>
      </c>
      <c r="CI756">
        <v>86736</v>
      </c>
      <c r="CJ756" t="s">
        <v>504</v>
      </c>
    </row>
    <row r="757" spans="1:88" x14ac:dyDescent="0.25">
      <c r="A757" t="s">
        <v>53</v>
      </c>
      <c r="B757" t="s">
        <v>101</v>
      </c>
      <c r="C757" t="s">
        <v>390</v>
      </c>
      <c r="D757">
        <v>58171</v>
      </c>
      <c r="E757">
        <v>1</v>
      </c>
      <c r="F757" s="24" t="str">
        <f t="shared" si="61"/>
        <v>2024-5</v>
      </c>
      <c r="O757" t="s">
        <v>14</v>
      </c>
      <c r="P757" t="s">
        <v>12</v>
      </c>
      <c r="Q757">
        <v>7</v>
      </c>
      <c r="AA757">
        <v>58171</v>
      </c>
      <c r="AB757" t="s">
        <v>101</v>
      </c>
      <c r="AD757">
        <f t="shared" si="59"/>
        <v>0</v>
      </c>
      <c r="AE757">
        <f t="shared" si="60"/>
        <v>0</v>
      </c>
      <c r="AG757" t="s">
        <v>14</v>
      </c>
      <c r="AH757" t="s">
        <v>12</v>
      </c>
      <c r="BF757" t="s">
        <v>12</v>
      </c>
      <c r="BG757" t="s">
        <v>14</v>
      </c>
      <c r="BH757">
        <v>7</v>
      </c>
      <c r="BI757" t="s">
        <v>507</v>
      </c>
      <c r="CG757" t="s">
        <v>53</v>
      </c>
      <c r="CH757" t="s">
        <v>101</v>
      </c>
      <c r="CI757">
        <v>58171</v>
      </c>
      <c r="CJ757" t="s">
        <v>504</v>
      </c>
    </row>
    <row r="758" spans="1:88" x14ac:dyDescent="0.25">
      <c r="A758" t="s">
        <v>5</v>
      </c>
      <c r="B758" t="s">
        <v>391</v>
      </c>
      <c r="C758" t="s">
        <v>390</v>
      </c>
      <c r="D758">
        <v>82870</v>
      </c>
      <c r="E758">
        <v>0</v>
      </c>
      <c r="F758" s="24" t="str">
        <f t="shared" si="61"/>
        <v>2024-5</v>
      </c>
      <c r="O758" t="s">
        <v>14</v>
      </c>
      <c r="P758" t="s">
        <v>76</v>
      </c>
      <c r="Q758">
        <v>4</v>
      </c>
      <c r="AA758">
        <v>82870</v>
      </c>
      <c r="AB758" t="s">
        <v>391</v>
      </c>
      <c r="AD758">
        <f t="shared" si="59"/>
        <v>0</v>
      </c>
      <c r="AE758">
        <f t="shared" si="60"/>
        <v>0</v>
      </c>
      <c r="AG758" t="s">
        <v>14</v>
      </c>
      <c r="AH758" t="s">
        <v>76</v>
      </c>
      <c r="BF758" t="s">
        <v>76</v>
      </c>
      <c r="BG758" t="s">
        <v>14</v>
      </c>
      <c r="BH758">
        <v>4</v>
      </c>
      <c r="BI758" t="s">
        <v>507</v>
      </c>
      <c r="CG758" t="s">
        <v>5</v>
      </c>
      <c r="CH758" t="s">
        <v>391</v>
      </c>
      <c r="CI758">
        <v>82870</v>
      </c>
      <c r="CJ758" t="s">
        <v>504</v>
      </c>
    </row>
    <row r="759" spans="1:88" x14ac:dyDescent="0.25">
      <c r="A759" t="s">
        <v>75</v>
      </c>
      <c r="B759" t="s">
        <v>295</v>
      </c>
      <c r="C759" t="s">
        <v>392</v>
      </c>
      <c r="D759">
        <v>98482</v>
      </c>
      <c r="E759">
        <v>7</v>
      </c>
      <c r="F759" s="24" t="str">
        <f t="shared" si="61"/>
        <v>2024-5</v>
      </c>
      <c r="O759" t="s">
        <v>14</v>
      </c>
      <c r="P759" t="s">
        <v>11</v>
      </c>
      <c r="Q759">
        <v>8</v>
      </c>
      <c r="AA759">
        <v>98482</v>
      </c>
      <c r="AB759" t="s">
        <v>295</v>
      </c>
      <c r="AD759">
        <f t="shared" si="59"/>
        <v>0</v>
      </c>
      <c r="AE759">
        <f t="shared" si="60"/>
        <v>0</v>
      </c>
      <c r="AG759" t="s">
        <v>14</v>
      </c>
      <c r="AH759" t="s">
        <v>11</v>
      </c>
      <c r="BF759" t="s">
        <v>11</v>
      </c>
      <c r="BG759" t="s">
        <v>14</v>
      </c>
      <c r="BH759">
        <v>8</v>
      </c>
      <c r="BI759" t="s">
        <v>507</v>
      </c>
      <c r="CG759" t="s">
        <v>75</v>
      </c>
      <c r="CH759" t="s">
        <v>295</v>
      </c>
      <c r="CI759">
        <v>98482</v>
      </c>
      <c r="CJ759" t="s">
        <v>504</v>
      </c>
    </row>
    <row r="760" spans="1:88" x14ac:dyDescent="0.25">
      <c r="A760" t="s">
        <v>53</v>
      </c>
      <c r="B760" t="s">
        <v>161</v>
      </c>
      <c r="C760" t="s">
        <v>392</v>
      </c>
      <c r="D760">
        <v>64561</v>
      </c>
      <c r="E760">
        <v>3</v>
      </c>
      <c r="F760" s="24" t="str">
        <f t="shared" si="61"/>
        <v>2024-5</v>
      </c>
      <c r="O760" t="s">
        <v>10</v>
      </c>
      <c r="P760" t="s">
        <v>118</v>
      </c>
      <c r="Q760">
        <v>7</v>
      </c>
      <c r="AA760">
        <v>64561</v>
      </c>
      <c r="AB760" t="s">
        <v>161</v>
      </c>
      <c r="AD760">
        <f t="shared" si="59"/>
        <v>0</v>
      </c>
      <c r="AE760">
        <f t="shared" si="60"/>
        <v>0</v>
      </c>
      <c r="AG760" t="s">
        <v>10</v>
      </c>
      <c r="AH760" t="s">
        <v>118</v>
      </c>
      <c r="BF760" t="s">
        <v>118</v>
      </c>
      <c r="BG760" t="s">
        <v>10</v>
      </c>
      <c r="BH760">
        <v>7</v>
      </c>
      <c r="BI760" t="s">
        <v>507</v>
      </c>
      <c r="CG760" t="s">
        <v>53</v>
      </c>
      <c r="CH760" t="s">
        <v>161</v>
      </c>
      <c r="CI760">
        <v>64561</v>
      </c>
      <c r="CJ760" t="s">
        <v>504</v>
      </c>
    </row>
    <row r="761" spans="1:88" x14ac:dyDescent="0.25">
      <c r="A761" t="s">
        <v>14</v>
      </c>
      <c r="B761" t="s">
        <v>337</v>
      </c>
      <c r="C761" t="s">
        <v>392</v>
      </c>
      <c r="D761">
        <v>69741</v>
      </c>
      <c r="E761">
        <v>4</v>
      </c>
      <c r="F761" s="24" t="str">
        <f t="shared" si="61"/>
        <v>2024-5</v>
      </c>
      <c r="O761" t="s">
        <v>37</v>
      </c>
      <c r="P761" t="s">
        <v>91</v>
      </c>
      <c r="Q761">
        <v>6</v>
      </c>
      <c r="AA761">
        <v>69741</v>
      </c>
      <c r="AB761" t="s">
        <v>337</v>
      </c>
      <c r="AD761">
        <f t="shared" si="59"/>
        <v>0</v>
      </c>
      <c r="AE761">
        <f t="shared" si="60"/>
        <v>0</v>
      </c>
      <c r="AG761" t="s">
        <v>37</v>
      </c>
      <c r="AH761" t="s">
        <v>91</v>
      </c>
      <c r="BF761" t="s">
        <v>91</v>
      </c>
      <c r="BG761" t="s">
        <v>37</v>
      </c>
      <c r="BH761">
        <v>6</v>
      </c>
      <c r="BI761" t="s">
        <v>507</v>
      </c>
      <c r="CG761" t="s">
        <v>14</v>
      </c>
      <c r="CH761" t="s">
        <v>337</v>
      </c>
      <c r="CI761">
        <v>69741</v>
      </c>
      <c r="CJ761" t="s">
        <v>504</v>
      </c>
    </row>
    <row r="762" spans="1:88" x14ac:dyDescent="0.25">
      <c r="A762" t="s">
        <v>55</v>
      </c>
      <c r="B762" t="s">
        <v>393</v>
      </c>
      <c r="C762" t="s">
        <v>392</v>
      </c>
      <c r="D762">
        <v>71099</v>
      </c>
      <c r="E762">
        <v>5</v>
      </c>
      <c r="F762" s="24" t="str">
        <f t="shared" si="61"/>
        <v>2024-5</v>
      </c>
      <c r="O762" t="s">
        <v>14</v>
      </c>
      <c r="P762" t="s">
        <v>370</v>
      </c>
      <c r="Q762">
        <v>8</v>
      </c>
      <c r="AA762">
        <v>71099</v>
      </c>
      <c r="AB762" t="s">
        <v>393</v>
      </c>
      <c r="AD762">
        <f t="shared" si="59"/>
        <v>0</v>
      </c>
      <c r="AE762">
        <f t="shared" si="60"/>
        <v>0</v>
      </c>
      <c r="AG762" t="s">
        <v>14</v>
      </c>
      <c r="AH762" t="s">
        <v>370</v>
      </c>
      <c r="BF762" t="s">
        <v>370</v>
      </c>
      <c r="BG762" t="s">
        <v>14</v>
      </c>
      <c r="BH762">
        <v>8</v>
      </c>
      <c r="BI762" t="s">
        <v>507</v>
      </c>
      <c r="CG762" t="s">
        <v>55</v>
      </c>
      <c r="CH762" t="s">
        <v>393</v>
      </c>
      <c r="CI762">
        <v>71099</v>
      </c>
      <c r="CJ762" t="s">
        <v>504</v>
      </c>
    </row>
    <row r="763" spans="1:88" x14ac:dyDescent="0.25">
      <c r="A763" t="s">
        <v>55</v>
      </c>
      <c r="B763" t="s">
        <v>81</v>
      </c>
      <c r="C763" t="s">
        <v>394</v>
      </c>
      <c r="D763">
        <v>72026</v>
      </c>
      <c r="E763">
        <v>7</v>
      </c>
      <c r="F763" s="24" t="str">
        <f t="shared" si="61"/>
        <v>2024-5</v>
      </c>
      <c r="O763" t="s">
        <v>55</v>
      </c>
      <c r="P763" t="s">
        <v>109</v>
      </c>
      <c r="Q763">
        <v>8</v>
      </c>
      <c r="AA763">
        <v>72026</v>
      </c>
      <c r="AB763" t="s">
        <v>81</v>
      </c>
      <c r="AD763">
        <f t="shared" si="59"/>
        <v>0</v>
      </c>
      <c r="AE763">
        <f t="shared" si="60"/>
        <v>0</v>
      </c>
      <c r="AG763" t="s">
        <v>55</v>
      </c>
      <c r="AH763" t="s">
        <v>109</v>
      </c>
      <c r="BF763" t="s">
        <v>109</v>
      </c>
      <c r="BG763" t="s">
        <v>55</v>
      </c>
      <c r="BH763">
        <v>8</v>
      </c>
      <c r="BI763" t="s">
        <v>507</v>
      </c>
      <c r="CG763" t="s">
        <v>55</v>
      </c>
      <c r="CH763" t="s">
        <v>81</v>
      </c>
      <c r="CI763">
        <v>72026</v>
      </c>
      <c r="CJ763" t="s">
        <v>504</v>
      </c>
    </row>
    <row r="764" spans="1:88" x14ac:dyDescent="0.25">
      <c r="A764" t="s">
        <v>21</v>
      </c>
      <c r="B764" t="s">
        <v>121</v>
      </c>
      <c r="C764" t="s">
        <v>394</v>
      </c>
      <c r="D764">
        <v>72310</v>
      </c>
      <c r="E764">
        <v>10</v>
      </c>
      <c r="F764" s="24" t="str">
        <f t="shared" si="61"/>
        <v>2024-5</v>
      </c>
      <c r="O764" t="s">
        <v>14</v>
      </c>
      <c r="P764" t="s">
        <v>89</v>
      </c>
      <c r="Q764">
        <v>7</v>
      </c>
      <c r="AA764">
        <v>72310</v>
      </c>
      <c r="AB764" t="s">
        <v>121</v>
      </c>
      <c r="AD764">
        <f t="shared" si="59"/>
        <v>0</v>
      </c>
      <c r="AE764">
        <f t="shared" si="60"/>
        <v>0</v>
      </c>
      <c r="AG764" t="s">
        <v>14</v>
      </c>
      <c r="AH764" t="s">
        <v>89</v>
      </c>
      <c r="BF764" t="s">
        <v>89</v>
      </c>
      <c r="BG764" t="s">
        <v>14</v>
      </c>
      <c r="BH764">
        <v>7</v>
      </c>
      <c r="BI764" t="s">
        <v>507</v>
      </c>
      <c r="CG764" t="s">
        <v>21</v>
      </c>
      <c r="CH764" t="s">
        <v>121</v>
      </c>
      <c r="CI764">
        <v>72310</v>
      </c>
      <c r="CJ764" t="s">
        <v>504</v>
      </c>
    </row>
    <row r="765" spans="1:88" x14ac:dyDescent="0.25">
      <c r="A765" t="s">
        <v>55</v>
      </c>
      <c r="B765" t="s">
        <v>119</v>
      </c>
      <c r="C765" t="s">
        <v>395</v>
      </c>
      <c r="D765">
        <v>28635</v>
      </c>
      <c r="E765">
        <v>3</v>
      </c>
      <c r="F765" s="24" t="str">
        <f t="shared" si="61"/>
        <v>2024-5</v>
      </c>
      <c r="O765" t="s">
        <v>5</v>
      </c>
      <c r="P765" t="s">
        <v>87</v>
      </c>
      <c r="Q765">
        <v>3</v>
      </c>
      <c r="AA765">
        <v>28635</v>
      </c>
      <c r="AB765" t="s">
        <v>119</v>
      </c>
      <c r="AD765">
        <f t="shared" si="59"/>
        <v>0</v>
      </c>
      <c r="AE765">
        <f t="shared" si="60"/>
        <v>0</v>
      </c>
      <c r="AG765" t="s">
        <v>5</v>
      </c>
      <c r="AH765" t="s">
        <v>87</v>
      </c>
      <c r="BF765" t="s">
        <v>87</v>
      </c>
      <c r="BG765" t="s">
        <v>5</v>
      </c>
      <c r="BH765">
        <v>3</v>
      </c>
      <c r="BI765" t="s">
        <v>507</v>
      </c>
      <c r="CG765" t="s">
        <v>55</v>
      </c>
      <c r="CH765" t="s">
        <v>119</v>
      </c>
      <c r="CI765">
        <v>28635</v>
      </c>
      <c r="CJ765" t="s">
        <v>504</v>
      </c>
    </row>
    <row r="766" spans="1:88" x14ac:dyDescent="0.25">
      <c r="A766" t="s">
        <v>5</v>
      </c>
      <c r="B766" t="s">
        <v>209</v>
      </c>
      <c r="C766" t="s">
        <v>395</v>
      </c>
      <c r="D766">
        <v>77027</v>
      </c>
      <c r="E766">
        <v>3</v>
      </c>
      <c r="F766" s="24" t="str">
        <f t="shared" si="61"/>
        <v>2024-5</v>
      </c>
      <c r="O766" t="s">
        <v>10</v>
      </c>
      <c r="P766" t="s">
        <v>96</v>
      </c>
      <c r="Q766">
        <v>10</v>
      </c>
      <c r="AA766">
        <v>77027</v>
      </c>
      <c r="AB766" t="s">
        <v>209</v>
      </c>
      <c r="AD766">
        <f t="shared" si="59"/>
        <v>0</v>
      </c>
      <c r="AE766">
        <f t="shared" si="60"/>
        <v>0</v>
      </c>
      <c r="AG766" t="s">
        <v>10</v>
      </c>
      <c r="AH766" t="s">
        <v>96</v>
      </c>
      <c r="BF766" t="s">
        <v>96</v>
      </c>
      <c r="BG766" t="s">
        <v>10</v>
      </c>
      <c r="BH766">
        <v>10</v>
      </c>
      <c r="BI766" t="s">
        <v>507</v>
      </c>
      <c r="CG766" t="s">
        <v>5</v>
      </c>
      <c r="CH766" t="s">
        <v>209</v>
      </c>
      <c r="CI766">
        <v>77027</v>
      </c>
      <c r="CJ766" t="s">
        <v>504</v>
      </c>
    </row>
    <row r="767" spans="1:88" x14ac:dyDescent="0.25">
      <c r="A767" t="s">
        <v>10</v>
      </c>
      <c r="B767" t="s">
        <v>166</v>
      </c>
      <c r="C767" t="s">
        <v>395</v>
      </c>
      <c r="D767">
        <v>99707</v>
      </c>
      <c r="E767">
        <v>5</v>
      </c>
      <c r="F767" s="24" t="str">
        <f t="shared" si="61"/>
        <v>2024-5</v>
      </c>
      <c r="O767" t="s">
        <v>5</v>
      </c>
      <c r="P767" t="s">
        <v>70</v>
      </c>
      <c r="Q767">
        <v>7</v>
      </c>
      <c r="AA767">
        <v>99707</v>
      </c>
      <c r="AB767" t="s">
        <v>166</v>
      </c>
      <c r="AD767">
        <f t="shared" si="59"/>
        <v>0</v>
      </c>
      <c r="AE767">
        <f t="shared" si="60"/>
        <v>0</v>
      </c>
      <c r="AG767" t="s">
        <v>5</v>
      </c>
      <c r="AH767" t="s">
        <v>70</v>
      </c>
      <c r="BF767" t="s">
        <v>70</v>
      </c>
      <c r="BG767" t="s">
        <v>5</v>
      </c>
      <c r="BH767">
        <v>7</v>
      </c>
      <c r="BI767" t="s">
        <v>507</v>
      </c>
      <c r="CG767" t="s">
        <v>10</v>
      </c>
      <c r="CH767" t="s">
        <v>166</v>
      </c>
      <c r="CI767">
        <v>99707</v>
      </c>
      <c r="CJ767" t="s">
        <v>504</v>
      </c>
    </row>
    <row r="768" spans="1:88" x14ac:dyDescent="0.25">
      <c r="A768" t="s">
        <v>55</v>
      </c>
      <c r="B768" t="s">
        <v>88</v>
      </c>
      <c r="C768" t="s">
        <v>396</v>
      </c>
      <c r="D768">
        <v>16703</v>
      </c>
      <c r="E768">
        <v>1</v>
      </c>
      <c r="F768" s="24" t="str">
        <f t="shared" si="61"/>
        <v>2024-5</v>
      </c>
      <c r="O768" t="s">
        <v>16</v>
      </c>
      <c r="P768" t="s">
        <v>144</v>
      </c>
      <c r="Q768">
        <v>9</v>
      </c>
      <c r="AA768">
        <v>16703</v>
      </c>
      <c r="AB768" t="s">
        <v>88</v>
      </c>
      <c r="AD768">
        <f t="shared" si="59"/>
        <v>0</v>
      </c>
      <c r="AE768">
        <f t="shared" si="60"/>
        <v>0</v>
      </c>
      <c r="AG768" t="s">
        <v>16</v>
      </c>
      <c r="AH768" t="s">
        <v>144</v>
      </c>
      <c r="BF768" t="s">
        <v>144</v>
      </c>
      <c r="BG768" t="s">
        <v>16</v>
      </c>
      <c r="BH768">
        <v>9</v>
      </c>
      <c r="BI768" t="s">
        <v>507</v>
      </c>
      <c r="CG768" t="s">
        <v>55</v>
      </c>
      <c r="CH768" t="s">
        <v>88</v>
      </c>
      <c r="CI768">
        <v>16703</v>
      </c>
      <c r="CJ768" t="s">
        <v>504</v>
      </c>
    </row>
    <row r="769" spans="1:88" x14ac:dyDescent="0.25">
      <c r="A769" t="s">
        <v>37</v>
      </c>
      <c r="B769" t="s">
        <v>86</v>
      </c>
      <c r="C769" t="s">
        <v>396</v>
      </c>
      <c r="D769">
        <v>90050</v>
      </c>
      <c r="E769">
        <v>7</v>
      </c>
      <c r="F769" s="24" t="str">
        <f t="shared" si="61"/>
        <v>2024-5</v>
      </c>
      <c r="O769" t="s">
        <v>29</v>
      </c>
      <c r="P769" t="s">
        <v>242</v>
      </c>
      <c r="Q769">
        <v>9</v>
      </c>
      <c r="AA769">
        <v>90050</v>
      </c>
      <c r="AB769" t="s">
        <v>86</v>
      </c>
      <c r="AD769">
        <f t="shared" si="59"/>
        <v>0</v>
      </c>
      <c r="AE769">
        <f t="shared" si="60"/>
        <v>0</v>
      </c>
      <c r="AG769" t="s">
        <v>29</v>
      </c>
      <c r="AH769" t="s">
        <v>242</v>
      </c>
      <c r="BF769" t="s">
        <v>242</v>
      </c>
      <c r="BG769" t="s">
        <v>29</v>
      </c>
      <c r="BH769">
        <v>9</v>
      </c>
      <c r="BI769" t="s">
        <v>507</v>
      </c>
      <c r="CG769" t="s">
        <v>37</v>
      </c>
      <c r="CH769" t="s">
        <v>86</v>
      </c>
      <c r="CI769">
        <v>90050</v>
      </c>
      <c r="CJ769" t="s">
        <v>504</v>
      </c>
    </row>
    <row r="770" spans="1:88" x14ac:dyDescent="0.25">
      <c r="A770" t="s">
        <v>8</v>
      </c>
      <c r="B770" t="s">
        <v>321</v>
      </c>
      <c r="C770" t="s">
        <v>396</v>
      </c>
      <c r="D770">
        <v>50947</v>
      </c>
      <c r="E770">
        <v>8</v>
      </c>
      <c r="F770" s="24" t="str">
        <f t="shared" si="61"/>
        <v>2024-5</v>
      </c>
      <c r="O770" t="s">
        <v>37</v>
      </c>
      <c r="P770" t="s">
        <v>158</v>
      </c>
      <c r="Q770">
        <v>5</v>
      </c>
      <c r="AA770">
        <v>50947</v>
      </c>
      <c r="AB770" t="s">
        <v>321</v>
      </c>
      <c r="AD770">
        <f t="shared" ref="AD770:AD833" si="62">COUNTIF(AB:AB,AC770)</f>
        <v>0</v>
      </c>
      <c r="AE770">
        <f t="shared" ref="AE770:AE833" si="63">SUMIF(AB:AB,AC770,AA:AA)</f>
        <v>0</v>
      </c>
      <c r="AG770" t="s">
        <v>37</v>
      </c>
      <c r="AH770" t="s">
        <v>158</v>
      </c>
      <c r="BF770" t="s">
        <v>158</v>
      </c>
      <c r="BG770" t="s">
        <v>37</v>
      </c>
      <c r="BH770">
        <v>5</v>
      </c>
      <c r="BI770" t="s">
        <v>507</v>
      </c>
      <c r="CG770" t="s">
        <v>8</v>
      </c>
      <c r="CH770" t="s">
        <v>321</v>
      </c>
      <c r="CI770">
        <v>50947</v>
      </c>
      <c r="CJ770" t="s">
        <v>504</v>
      </c>
    </row>
    <row r="771" spans="1:88" x14ac:dyDescent="0.25">
      <c r="A771" t="s">
        <v>10</v>
      </c>
      <c r="B771" t="s">
        <v>18</v>
      </c>
      <c r="C771" t="s">
        <v>397</v>
      </c>
      <c r="D771">
        <v>26898</v>
      </c>
      <c r="E771">
        <v>7</v>
      </c>
      <c r="F771" s="24" t="str">
        <f t="shared" ref="F771:F834" si="64">YEAR(C771)&amp;"-"&amp;MONTH(C771)</f>
        <v>2024-6</v>
      </c>
      <c r="O771" t="s">
        <v>21</v>
      </c>
      <c r="P771" t="s">
        <v>155</v>
      </c>
      <c r="Q771">
        <v>3</v>
      </c>
      <c r="AA771">
        <v>26898</v>
      </c>
      <c r="AB771" t="s">
        <v>18</v>
      </c>
      <c r="AD771">
        <f t="shared" si="62"/>
        <v>0</v>
      </c>
      <c r="AE771">
        <f t="shared" si="63"/>
        <v>0</v>
      </c>
      <c r="AG771" t="s">
        <v>21</v>
      </c>
      <c r="AH771" t="s">
        <v>155</v>
      </c>
      <c r="BF771" t="s">
        <v>155</v>
      </c>
      <c r="BG771" t="s">
        <v>21</v>
      </c>
      <c r="BH771">
        <v>3</v>
      </c>
      <c r="BI771" t="s">
        <v>507</v>
      </c>
      <c r="CG771" t="s">
        <v>10</v>
      </c>
      <c r="CH771" t="s">
        <v>18</v>
      </c>
      <c r="CI771">
        <v>26898</v>
      </c>
      <c r="CJ771" t="s">
        <v>505</v>
      </c>
    </row>
    <row r="772" spans="1:88" x14ac:dyDescent="0.25">
      <c r="A772" t="s">
        <v>8</v>
      </c>
      <c r="B772" t="s">
        <v>38</v>
      </c>
      <c r="C772" t="s">
        <v>397</v>
      </c>
      <c r="D772">
        <v>98497</v>
      </c>
      <c r="E772">
        <v>2</v>
      </c>
      <c r="F772" s="24" t="str">
        <f t="shared" si="64"/>
        <v>2024-6</v>
      </c>
      <c r="O772" t="s">
        <v>5</v>
      </c>
      <c r="P772" t="s">
        <v>86</v>
      </c>
      <c r="Q772">
        <v>6</v>
      </c>
      <c r="AA772">
        <v>98497</v>
      </c>
      <c r="AB772" t="s">
        <v>38</v>
      </c>
      <c r="AD772">
        <f t="shared" si="62"/>
        <v>0</v>
      </c>
      <c r="AE772">
        <f t="shared" si="63"/>
        <v>0</v>
      </c>
      <c r="AG772" t="s">
        <v>5</v>
      </c>
      <c r="AH772" t="s">
        <v>86</v>
      </c>
      <c r="BF772" t="s">
        <v>86</v>
      </c>
      <c r="BG772" t="s">
        <v>5</v>
      </c>
      <c r="BH772">
        <v>6</v>
      </c>
      <c r="BI772" t="s">
        <v>507</v>
      </c>
      <c r="CG772" t="s">
        <v>8</v>
      </c>
      <c r="CH772" t="s">
        <v>38</v>
      </c>
      <c r="CI772">
        <v>98497</v>
      </c>
      <c r="CJ772" t="s">
        <v>505</v>
      </c>
    </row>
    <row r="773" spans="1:88" x14ac:dyDescent="0.25">
      <c r="A773" t="s">
        <v>37</v>
      </c>
      <c r="B773" t="s">
        <v>83</v>
      </c>
      <c r="C773" t="s">
        <v>397</v>
      </c>
      <c r="D773">
        <v>77618</v>
      </c>
      <c r="E773">
        <v>7</v>
      </c>
      <c r="F773" s="24" t="str">
        <f t="shared" si="64"/>
        <v>2024-6</v>
      </c>
      <c r="O773" t="s">
        <v>35</v>
      </c>
      <c r="P773" t="s">
        <v>49</v>
      </c>
      <c r="Q773">
        <v>3</v>
      </c>
      <c r="AA773">
        <v>77618</v>
      </c>
      <c r="AB773" t="s">
        <v>83</v>
      </c>
      <c r="AD773">
        <f t="shared" si="62"/>
        <v>0</v>
      </c>
      <c r="AE773">
        <f t="shared" si="63"/>
        <v>0</v>
      </c>
      <c r="AG773" t="s">
        <v>35</v>
      </c>
      <c r="AH773" t="s">
        <v>49</v>
      </c>
      <c r="BF773" t="s">
        <v>49</v>
      </c>
      <c r="BG773" t="s">
        <v>35</v>
      </c>
      <c r="BH773">
        <v>3</v>
      </c>
      <c r="BI773" t="s">
        <v>507</v>
      </c>
      <c r="CG773" t="s">
        <v>37</v>
      </c>
      <c r="CH773" t="s">
        <v>83</v>
      </c>
      <c r="CI773">
        <v>77618</v>
      </c>
      <c r="CJ773" t="s">
        <v>505</v>
      </c>
    </row>
    <row r="774" spans="1:88" x14ac:dyDescent="0.25">
      <c r="A774" t="s">
        <v>53</v>
      </c>
      <c r="B774" t="s">
        <v>63</v>
      </c>
      <c r="C774" t="s">
        <v>397</v>
      </c>
      <c r="D774">
        <v>65201</v>
      </c>
      <c r="E774">
        <v>8</v>
      </c>
      <c r="F774" s="24" t="str">
        <f t="shared" si="64"/>
        <v>2024-6</v>
      </c>
      <c r="O774" t="s">
        <v>53</v>
      </c>
      <c r="P774" t="s">
        <v>105</v>
      </c>
      <c r="Q774">
        <v>9</v>
      </c>
      <c r="AA774">
        <v>65201</v>
      </c>
      <c r="AB774" t="s">
        <v>63</v>
      </c>
      <c r="AD774">
        <f t="shared" si="62"/>
        <v>0</v>
      </c>
      <c r="AE774">
        <f t="shared" si="63"/>
        <v>0</v>
      </c>
      <c r="AG774" t="s">
        <v>53</v>
      </c>
      <c r="AH774" t="s">
        <v>105</v>
      </c>
      <c r="BF774" t="s">
        <v>105</v>
      </c>
      <c r="BG774" t="s">
        <v>53</v>
      </c>
      <c r="BH774">
        <v>9</v>
      </c>
      <c r="BI774" t="s">
        <v>507</v>
      </c>
      <c r="CG774" t="s">
        <v>53</v>
      </c>
      <c r="CH774" t="s">
        <v>63</v>
      </c>
      <c r="CI774">
        <v>65201</v>
      </c>
      <c r="CJ774" t="s">
        <v>505</v>
      </c>
    </row>
    <row r="775" spans="1:88" x14ac:dyDescent="0.25">
      <c r="A775" t="s">
        <v>37</v>
      </c>
      <c r="B775" t="s">
        <v>11</v>
      </c>
      <c r="C775" t="s">
        <v>397</v>
      </c>
      <c r="D775">
        <v>12860</v>
      </c>
      <c r="E775">
        <v>5</v>
      </c>
      <c r="F775" s="24" t="str">
        <f t="shared" si="64"/>
        <v>2024-6</v>
      </c>
      <c r="O775" t="s">
        <v>10</v>
      </c>
      <c r="P775" t="s">
        <v>82</v>
      </c>
      <c r="Q775">
        <v>5</v>
      </c>
      <c r="AA775">
        <v>12860</v>
      </c>
      <c r="AB775" t="s">
        <v>11</v>
      </c>
      <c r="AD775">
        <f t="shared" si="62"/>
        <v>0</v>
      </c>
      <c r="AE775">
        <f t="shared" si="63"/>
        <v>0</v>
      </c>
      <c r="AG775" t="s">
        <v>10</v>
      </c>
      <c r="AH775" t="s">
        <v>82</v>
      </c>
      <c r="BF775" t="s">
        <v>82</v>
      </c>
      <c r="BG775" t="s">
        <v>10</v>
      </c>
      <c r="BH775">
        <v>5</v>
      </c>
      <c r="BI775" t="s">
        <v>507</v>
      </c>
      <c r="CG775" t="s">
        <v>37</v>
      </c>
      <c r="CH775" t="s">
        <v>11</v>
      </c>
      <c r="CI775">
        <v>12860</v>
      </c>
      <c r="CJ775" t="s">
        <v>505</v>
      </c>
    </row>
    <row r="776" spans="1:88" x14ac:dyDescent="0.25">
      <c r="A776" t="s">
        <v>16</v>
      </c>
      <c r="B776" t="s">
        <v>189</v>
      </c>
      <c r="C776" t="s">
        <v>397</v>
      </c>
      <c r="D776">
        <v>50874</v>
      </c>
      <c r="E776">
        <v>5</v>
      </c>
      <c r="F776" s="24" t="str">
        <f t="shared" si="64"/>
        <v>2024-6</v>
      </c>
      <c r="O776" t="s">
        <v>5</v>
      </c>
      <c r="P776" t="s">
        <v>112</v>
      </c>
      <c r="Q776">
        <v>8</v>
      </c>
      <c r="AA776">
        <v>50874</v>
      </c>
      <c r="AB776" t="s">
        <v>189</v>
      </c>
      <c r="AD776">
        <f t="shared" si="62"/>
        <v>0</v>
      </c>
      <c r="AE776">
        <f t="shared" si="63"/>
        <v>0</v>
      </c>
      <c r="AG776" t="s">
        <v>5</v>
      </c>
      <c r="AH776" t="s">
        <v>112</v>
      </c>
      <c r="BF776" t="s">
        <v>112</v>
      </c>
      <c r="BG776" t="s">
        <v>5</v>
      </c>
      <c r="BH776">
        <v>8</v>
      </c>
      <c r="BI776" t="s">
        <v>507</v>
      </c>
      <c r="CG776" t="s">
        <v>16</v>
      </c>
      <c r="CH776" t="s">
        <v>189</v>
      </c>
      <c r="CI776">
        <v>50874</v>
      </c>
      <c r="CJ776" t="s">
        <v>505</v>
      </c>
    </row>
    <row r="777" spans="1:88" x14ac:dyDescent="0.25">
      <c r="A777" t="s">
        <v>55</v>
      </c>
      <c r="B777" t="s">
        <v>12</v>
      </c>
      <c r="C777" t="s">
        <v>397</v>
      </c>
      <c r="D777">
        <v>60190</v>
      </c>
      <c r="E777">
        <v>7</v>
      </c>
      <c r="F777" s="24" t="str">
        <f t="shared" si="64"/>
        <v>2024-6</v>
      </c>
      <c r="O777" t="s">
        <v>75</v>
      </c>
      <c r="P777" t="s">
        <v>41</v>
      </c>
      <c r="Q777">
        <v>6</v>
      </c>
      <c r="AA777">
        <v>60190</v>
      </c>
      <c r="AB777" t="s">
        <v>12</v>
      </c>
      <c r="AD777">
        <f t="shared" si="62"/>
        <v>0</v>
      </c>
      <c r="AE777">
        <f t="shared" si="63"/>
        <v>0</v>
      </c>
      <c r="AG777" t="s">
        <v>75</v>
      </c>
      <c r="AH777" t="s">
        <v>41</v>
      </c>
      <c r="BF777" t="s">
        <v>41</v>
      </c>
      <c r="BG777" t="s">
        <v>75</v>
      </c>
      <c r="BH777">
        <v>6</v>
      </c>
      <c r="BI777" t="s">
        <v>507</v>
      </c>
      <c r="CG777" t="s">
        <v>55</v>
      </c>
      <c r="CH777" t="s">
        <v>12</v>
      </c>
      <c r="CI777">
        <v>60190</v>
      </c>
      <c r="CJ777" t="s">
        <v>505</v>
      </c>
    </row>
    <row r="778" spans="1:88" x14ac:dyDescent="0.25">
      <c r="A778" t="s">
        <v>53</v>
      </c>
      <c r="B778" t="s">
        <v>347</v>
      </c>
      <c r="C778" t="s">
        <v>397</v>
      </c>
      <c r="D778">
        <v>51946</v>
      </c>
      <c r="E778">
        <v>6</v>
      </c>
      <c r="F778" s="24" t="str">
        <f t="shared" si="64"/>
        <v>2024-6</v>
      </c>
      <c r="O778" t="s">
        <v>5</v>
      </c>
      <c r="P778" t="s">
        <v>202</v>
      </c>
      <c r="Q778">
        <v>3</v>
      </c>
      <c r="AA778">
        <v>51946</v>
      </c>
      <c r="AB778" t="s">
        <v>347</v>
      </c>
      <c r="AD778">
        <f t="shared" si="62"/>
        <v>0</v>
      </c>
      <c r="AE778">
        <f t="shared" si="63"/>
        <v>0</v>
      </c>
      <c r="AG778" t="s">
        <v>5</v>
      </c>
      <c r="AH778" t="s">
        <v>202</v>
      </c>
      <c r="BF778" t="s">
        <v>202</v>
      </c>
      <c r="BG778" t="s">
        <v>5</v>
      </c>
      <c r="BH778">
        <v>3</v>
      </c>
      <c r="BI778" t="s">
        <v>507</v>
      </c>
      <c r="CG778" t="s">
        <v>53</v>
      </c>
      <c r="CH778" t="s">
        <v>347</v>
      </c>
      <c r="CI778">
        <v>51946</v>
      </c>
      <c r="CJ778" t="s">
        <v>505</v>
      </c>
    </row>
    <row r="779" spans="1:88" x14ac:dyDescent="0.25">
      <c r="A779" t="s">
        <v>53</v>
      </c>
      <c r="B779" t="s">
        <v>156</v>
      </c>
      <c r="C779" t="s">
        <v>398</v>
      </c>
      <c r="D779">
        <v>87592</v>
      </c>
      <c r="E779">
        <v>7</v>
      </c>
      <c r="F779" s="24" t="str">
        <f t="shared" si="64"/>
        <v>2024-6</v>
      </c>
      <c r="O779" t="s">
        <v>10</v>
      </c>
      <c r="P779" t="s">
        <v>108</v>
      </c>
      <c r="Q779">
        <v>4</v>
      </c>
      <c r="AA779">
        <v>87592</v>
      </c>
      <c r="AB779" t="s">
        <v>156</v>
      </c>
      <c r="AD779">
        <f t="shared" si="62"/>
        <v>0</v>
      </c>
      <c r="AE779">
        <f t="shared" si="63"/>
        <v>0</v>
      </c>
      <c r="AG779" t="s">
        <v>10</v>
      </c>
      <c r="AH779" t="s">
        <v>108</v>
      </c>
      <c r="BF779" t="s">
        <v>108</v>
      </c>
      <c r="BG779" t="s">
        <v>10</v>
      </c>
      <c r="BH779">
        <v>4</v>
      </c>
      <c r="BI779" t="s">
        <v>507</v>
      </c>
      <c r="CG779" t="s">
        <v>53</v>
      </c>
      <c r="CH779" t="s">
        <v>156</v>
      </c>
      <c r="CI779">
        <v>87592</v>
      </c>
      <c r="CJ779" t="s">
        <v>505</v>
      </c>
    </row>
    <row r="780" spans="1:88" x14ac:dyDescent="0.25">
      <c r="A780" t="s">
        <v>53</v>
      </c>
      <c r="B780" t="s">
        <v>51</v>
      </c>
      <c r="C780" t="s">
        <v>398</v>
      </c>
      <c r="D780">
        <v>24027</v>
      </c>
      <c r="E780">
        <v>10</v>
      </c>
      <c r="F780" s="24" t="str">
        <f t="shared" si="64"/>
        <v>2024-6</v>
      </c>
      <c r="O780" t="s">
        <v>21</v>
      </c>
      <c r="P780" t="s">
        <v>48</v>
      </c>
      <c r="Q780">
        <v>5</v>
      </c>
      <c r="AA780">
        <v>24027</v>
      </c>
      <c r="AB780" t="s">
        <v>51</v>
      </c>
      <c r="AD780">
        <f t="shared" si="62"/>
        <v>0</v>
      </c>
      <c r="AE780">
        <f t="shared" si="63"/>
        <v>0</v>
      </c>
      <c r="AG780" t="s">
        <v>21</v>
      </c>
      <c r="AH780" t="s">
        <v>48</v>
      </c>
      <c r="BF780" t="s">
        <v>48</v>
      </c>
      <c r="BG780" t="s">
        <v>21</v>
      </c>
      <c r="BH780">
        <v>5</v>
      </c>
      <c r="BI780" t="s">
        <v>507</v>
      </c>
      <c r="CG780" t="s">
        <v>53</v>
      </c>
      <c r="CH780" t="s">
        <v>51</v>
      </c>
      <c r="CI780">
        <v>24027</v>
      </c>
      <c r="CJ780" t="s">
        <v>505</v>
      </c>
    </row>
    <row r="781" spans="1:88" x14ac:dyDescent="0.25">
      <c r="A781" t="s">
        <v>5</v>
      </c>
      <c r="B781" t="s">
        <v>45</v>
      </c>
      <c r="C781" t="s">
        <v>398</v>
      </c>
      <c r="D781">
        <v>19485</v>
      </c>
      <c r="E781">
        <v>5</v>
      </c>
      <c r="F781" s="24" t="str">
        <f t="shared" si="64"/>
        <v>2024-6</v>
      </c>
      <c r="O781" t="s">
        <v>21</v>
      </c>
      <c r="P781" t="s">
        <v>9</v>
      </c>
      <c r="Q781">
        <v>7</v>
      </c>
      <c r="AA781">
        <v>19485</v>
      </c>
      <c r="AB781" t="s">
        <v>45</v>
      </c>
      <c r="AD781">
        <f t="shared" si="62"/>
        <v>0</v>
      </c>
      <c r="AE781">
        <f t="shared" si="63"/>
        <v>0</v>
      </c>
      <c r="AG781" t="s">
        <v>21</v>
      </c>
      <c r="AH781" t="s">
        <v>9</v>
      </c>
      <c r="BF781" t="s">
        <v>9</v>
      </c>
      <c r="BG781" t="s">
        <v>21</v>
      </c>
      <c r="BH781">
        <v>7</v>
      </c>
      <c r="BI781" t="s">
        <v>507</v>
      </c>
      <c r="CG781" t="s">
        <v>5</v>
      </c>
      <c r="CH781" t="s">
        <v>45</v>
      </c>
      <c r="CI781">
        <v>19485</v>
      </c>
      <c r="CJ781" t="s">
        <v>505</v>
      </c>
    </row>
    <row r="782" spans="1:88" x14ac:dyDescent="0.25">
      <c r="A782" t="s">
        <v>21</v>
      </c>
      <c r="B782" t="s">
        <v>62</v>
      </c>
      <c r="C782" t="s">
        <v>398</v>
      </c>
      <c r="D782">
        <v>65425</v>
      </c>
      <c r="E782">
        <v>5</v>
      </c>
      <c r="F782" s="24" t="str">
        <f t="shared" si="64"/>
        <v>2024-6</v>
      </c>
      <c r="O782" t="s">
        <v>5</v>
      </c>
      <c r="P782" t="s">
        <v>297</v>
      </c>
      <c r="Q782">
        <v>9</v>
      </c>
      <c r="AA782">
        <v>65425</v>
      </c>
      <c r="AB782" t="s">
        <v>62</v>
      </c>
      <c r="AD782">
        <f t="shared" si="62"/>
        <v>0</v>
      </c>
      <c r="AE782">
        <f t="shared" si="63"/>
        <v>0</v>
      </c>
      <c r="AG782" t="s">
        <v>5</v>
      </c>
      <c r="AH782" t="s">
        <v>297</v>
      </c>
      <c r="BF782" t="s">
        <v>297</v>
      </c>
      <c r="BG782" t="s">
        <v>5</v>
      </c>
      <c r="BH782">
        <v>9</v>
      </c>
      <c r="BI782" t="s">
        <v>507</v>
      </c>
      <c r="CG782" t="s">
        <v>21</v>
      </c>
      <c r="CH782" t="s">
        <v>62</v>
      </c>
      <c r="CI782">
        <v>65425</v>
      </c>
      <c r="CJ782" t="s">
        <v>505</v>
      </c>
    </row>
    <row r="783" spans="1:88" x14ac:dyDescent="0.25">
      <c r="A783" t="s">
        <v>75</v>
      </c>
      <c r="B783" t="s">
        <v>111</v>
      </c>
      <c r="C783" t="s">
        <v>398</v>
      </c>
      <c r="D783">
        <v>90462</v>
      </c>
      <c r="E783">
        <v>4</v>
      </c>
      <c r="F783" s="24" t="str">
        <f t="shared" si="64"/>
        <v>2024-6</v>
      </c>
      <c r="O783" t="s">
        <v>55</v>
      </c>
      <c r="P783" t="s">
        <v>9</v>
      </c>
      <c r="Q783">
        <v>6</v>
      </c>
      <c r="AA783">
        <v>90462</v>
      </c>
      <c r="AB783" t="s">
        <v>111</v>
      </c>
      <c r="AD783">
        <f t="shared" si="62"/>
        <v>0</v>
      </c>
      <c r="AE783">
        <f t="shared" si="63"/>
        <v>0</v>
      </c>
      <c r="AG783" t="s">
        <v>55</v>
      </c>
      <c r="AH783" t="s">
        <v>9</v>
      </c>
      <c r="BF783" t="s">
        <v>9</v>
      </c>
      <c r="BG783" t="s">
        <v>55</v>
      </c>
      <c r="BH783">
        <v>6</v>
      </c>
      <c r="BI783" t="s">
        <v>507</v>
      </c>
      <c r="CG783" t="s">
        <v>75</v>
      </c>
      <c r="CH783" t="s">
        <v>111</v>
      </c>
      <c r="CI783">
        <v>90462</v>
      </c>
      <c r="CJ783" t="s">
        <v>505</v>
      </c>
    </row>
    <row r="784" spans="1:88" x14ac:dyDescent="0.25">
      <c r="A784" t="s">
        <v>53</v>
      </c>
      <c r="B784" t="s">
        <v>213</v>
      </c>
      <c r="C784" t="s">
        <v>399</v>
      </c>
      <c r="D784">
        <v>64707</v>
      </c>
      <c r="E784">
        <v>8</v>
      </c>
      <c r="F784" s="24" t="str">
        <f t="shared" si="64"/>
        <v>2024-6</v>
      </c>
      <c r="O784" t="s">
        <v>16</v>
      </c>
      <c r="P784" t="s">
        <v>152</v>
      </c>
      <c r="Q784">
        <v>6</v>
      </c>
      <c r="AA784">
        <v>64707</v>
      </c>
      <c r="AB784" t="s">
        <v>213</v>
      </c>
      <c r="AD784">
        <f t="shared" si="62"/>
        <v>0</v>
      </c>
      <c r="AE784">
        <f t="shared" si="63"/>
        <v>0</v>
      </c>
      <c r="AG784" t="s">
        <v>16</v>
      </c>
      <c r="AH784" t="s">
        <v>152</v>
      </c>
      <c r="BF784" t="s">
        <v>152</v>
      </c>
      <c r="BG784" t="s">
        <v>16</v>
      </c>
      <c r="BH784">
        <v>6</v>
      </c>
      <c r="BI784" t="s">
        <v>507</v>
      </c>
      <c r="CG784" t="s">
        <v>53</v>
      </c>
      <c r="CH784" t="s">
        <v>213</v>
      </c>
      <c r="CI784">
        <v>64707</v>
      </c>
      <c r="CJ784" t="s">
        <v>505</v>
      </c>
    </row>
    <row r="785" spans="1:88" x14ac:dyDescent="0.25">
      <c r="A785" t="s">
        <v>35</v>
      </c>
      <c r="B785" t="s">
        <v>163</v>
      </c>
      <c r="C785" t="s">
        <v>400</v>
      </c>
      <c r="D785">
        <v>88009</v>
      </c>
      <c r="E785">
        <v>7</v>
      </c>
      <c r="F785" s="24" t="str">
        <f t="shared" si="64"/>
        <v>2024-6</v>
      </c>
      <c r="O785" t="s">
        <v>37</v>
      </c>
      <c r="P785" t="s">
        <v>135</v>
      </c>
      <c r="Q785">
        <v>6</v>
      </c>
      <c r="AA785">
        <v>88009</v>
      </c>
      <c r="AB785" t="s">
        <v>163</v>
      </c>
      <c r="AD785">
        <f t="shared" si="62"/>
        <v>0</v>
      </c>
      <c r="AE785">
        <f t="shared" si="63"/>
        <v>0</v>
      </c>
      <c r="AG785" t="s">
        <v>37</v>
      </c>
      <c r="AH785" t="s">
        <v>135</v>
      </c>
      <c r="BF785" t="s">
        <v>135</v>
      </c>
      <c r="BG785" t="s">
        <v>37</v>
      </c>
      <c r="BH785">
        <v>6</v>
      </c>
      <c r="BI785" t="s">
        <v>507</v>
      </c>
      <c r="CG785" t="s">
        <v>35</v>
      </c>
      <c r="CH785" t="s">
        <v>163</v>
      </c>
      <c r="CI785">
        <v>88009</v>
      </c>
      <c r="CJ785" t="s">
        <v>505</v>
      </c>
    </row>
    <row r="786" spans="1:88" x14ac:dyDescent="0.25">
      <c r="A786" t="s">
        <v>35</v>
      </c>
      <c r="B786" t="s">
        <v>111</v>
      </c>
      <c r="C786" t="s">
        <v>401</v>
      </c>
      <c r="D786">
        <v>26725</v>
      </c>
      <c r="E786">
        <v>3</v>
      </c>
      <c r="F786" s="24" t="str">
        <f t="shared" si="64"/>
        <v>2024-6</v>
      </c>
      <c r="O786" t="s">
        <v>8</v>
      </c>
      <c r="P786" t="s">
        <v>194</v>
      </c>
      <c r="Q786">
        <v>4</v>
      </c>
      <c r="AA786">
        <v>26725</v>
      </c>
      <c r="AB786" t="s">
        <v>111</v>
      </c>
      <c r="AD786">
        <f t="shared" si="62"/>
        <v>0</v>
      </c>
      <c r="AE786">
        <f t="shared" si="63"/>
        <v>0</v>
      </c>
      <c r="AG786" t="s">
        <v>8</v>
      </c>
      <c r="AH786" t="s">
        <v>194</v>
      </c>
      <c r="BF786" t="s">
        <v>194</v>
      </c>
      <c r="BG786" t="s">
        <v>8</v>
      </c>
      <c r="BH786">
        <v>4</v>
      </c>
      <c r="BI786" t="s">
        <v>507</v>
      </c>
      <c r="CG786" t="s">
        <v>35</v>
      </c>
      <c r="CH786" t="s">
        <v>111</v>
      </c>
      <c r="CI786">
        <v>26725</v>
      </c>
      <c r="CJ786" t="s">
        <v>505</v>
      </c>
    </row>
    <row r="787" spans="1:88" x14ac:dyDescent="0.25">
      <c r="A787" t="s">
        <v>75</v>
      </c>
      <c r="B787" t="s">
        <v>321</v>
      </c>
      <c r="C787" t="s">
        <v>401</v>
      </c>
      <c r="D787">
        <v>31535</v>
      </c>
      <c r="E787">
        <v>6</v>
      </c>
      <c r="F787" s="24" t="str">
        <f t="shared" si="64"/>
        <v>2024-6</v>
      </c>
      <c r="O787" t="s">
        <v>37</v>
      </c>
      <c r="P787" t="s">
        <v>19</v>
      </c>
      <c r="Q787">
        <v>7</v>
      </c>
      <c r="AA787">
        <v>31535</v>
      </c>
      <c r="AB787" t="s">
        <v>321</v>
      </c>
      <c r="AD787">
        <f t="shared" si="62"/>
        <v>0</v>
      </c>
      <c r="AE787">
        <f t="shared" si="63"/>
        <v>0</v>
      </c>
      <c r="AG787" t="s">
        <v>37</v>
      </c>
      <c r="AH787" t="s">
        <v>19</v>
      </c>
      <c r="BF787" t="s">
        <v>19</v>
      </c>
      <c r="BG787" t="s">
        <v>37</v>
      </c>
      <c r="BH787">
        <v>7</v>
      </c>
      <c r="BI787" t="s">
        <v>507</v>
      </c>
      <c r="CG787" t="s">
        <v>75</v>
      </c>
      <c r="CH787" t="s">
        <v>321</v>
      </c>
      <c r="CI787">
        <v>31535</v>
      </c>
      <c r="CJ787" t="s">
        <v>505</v>
      </c>
    </row>
    <row r="788" spans="1:88" x14ac:dyDescent="0.25">
      <c r="A788" t="s">
        <v>21</v>
      </c>
      <c r="B788" t="s">
        <v>17</v>
      </c>
      <c r="C788" t="s">
        <v>402</v>
      </c>
      <c r="D788">
        <v>60017</v>
      </c>
      <c r="E788">
        <v>9</v>
      </c>
      <c r="F788" s="24" t="str">
        <f t="shared" si="64"/>
        <v>2024-6</v>
      </c>
      <c r="O788" t="s">
        <v>8</v>
      </c>
      <c r="P788" t="s">
        <v>137</v>
      </c>
      <c r="Q788">
        <v>8</v>
      </c>
      <c r="AA788">
        <v>60017</v>
      </c>
      <c r="AB788" t="s">
        <v>17</v>
      </c>
      <c r="AD788">
        <f t="shared" si="62"/>
        <v>0</v>
      </c>
      <c r="AE788">
        <f t="shared" si="63"/>
        <v>0</v>
      </c>
      <c r="AG788" t="s">
        <v>8</v>
      </c>
      <c r="AH788" t="s">
        <v>137</v>
      </c>
      <c r="BF788" t="s">
        <v>137</v>
      </c>
      <c r="BG788" t="s">
        <v>8</v>
      </c>
      <c r="BH788">
        <v>8</v>
      </c>
      <c r="BI788" t="s">
        <v>507</v>
      </c>
      <c r="CG788" t="s">
        <v>21</v>
      </c>
      <c r="CH788" t="s">
        <v>17</v>
      </c>
      <c r="CI788">
        <v>60017</v>
      </c>
      <c r="CJ788" t="s">
        <v>505</v>
      </c>
    </row>
    <row r="789" spans="1:88" x14ac:dyDescent="0.25">
      <c r="A789" t="s">
        <v>16</v>
      </c>
      <c r="B789" t="s">
        <v>52</v>
      </c>
      <c r="C789" t="s">
        <v>402</v>
      </c>
      <c r="D789">
        <v>95698</v>
      </c>
      <c r="E789">
        <v>7</v>
      </c>
      <c r="F789" s="24" t="str">
        <f t="shared" si="64"/>
        <v>2024-6</v>
      </c>
      <c r="O789" t="s">
        <v>75</v>
      </c>
      <c r="P789" t="s">
        <v>166</v>
      </c>
      <c r="Q789">
        <v>9</v>
      </c>
      <c r="AA789">
        <v>95698</v>
      </c>
      <c r="AB789" t="s">
        <v>52</v>
      </c>
      <c r="AD789">
        <f t="shared" si="62"/>
        <v>0</v>
      </c>
      <c r="AE789">
        <f t="shared" si="63"/>
        <v>0</v>
      </c>
      <c r="AG789" t="s">
        <v>75</v>
      </c>
      <c r="AH789" t="s">
        <v>166</v>
      </c>
      <c r="BF789" t="s">
        <v>166</v>
      </c>
      <c r="BG789" t="s">
        <v>75</v>
      </c>
      <c r="BH789">
        <v>9</v>
      </c>
      <c r="BI789" t="s">
        <v>507</v>
      </c>
      <c r="CG789" t="s">
        <v>16</v>
      </c>
      <c r="CH789" t="s">
        <v>52</v>
      </c>
      <c r="CI789">
        <v>95698</v>
      </c>
      <c r="CJ789" t="s">
        <v>505</v>
      </c>
    </row>
    <row r="790" spans="1:88" x14ac:dyDescent="0.25">
      <c r="A790" t="s">
        <v>14</v>
      </c>
      <c r="B790" t="s">
        <v>119</v>
      </c>
      <c r="C790" t="s">
        <v>402</v>
      </c>
      <c r="D790">
        <v>31655</v>
      </c>
      <c r="E790">
        <v>4</v>
      </c>
      <c r="F790" s="24" t="str">
        <f t="shared" si="64"/>
        <v>2024-6</v>
      </c>
      <c r="O790" t="s">
        <v>75</v>
      </c>
      <c r="P790" t="s">
        <v>66</v>
      </c>
      <c r="Q790">
        <v>3</v>
      </c>
      <c r="AA790">
        <v>31655</v>
      </c>
      <c r="AB790" t="s">
        <v>119</v>
      </c>
      <c r="AD790">
        <f t="shared" si="62"/>
        <v>0</v>
      </c>
      <c r="AE790">
        <f t="shared" si="63"/>
        <v>0</v>
      </c>
      <c r="AG790" t="s">
        <v>75</v>
      </c>
      <c r="AH790" t="s">
        <v>66</v>
      </c>
      <c r="BF790" t="s">
        <v>66</v>
      </c>
      <c r="BG790" t="s">
        <v>75</v>
      </c>
      <c r="BH790">
        <v>3</v>
      </c>
      <c r="BI790" t="s">
        <v>507</v>
      </c>
      <c r="CG790" t="s">
        <v>14</v>
      </c>
      <c r="CH790" t="s">
        <v>119</v>
      </c>
      <c r="CI790">
        <v>31655</v>
      </c>
      <c r="CJ790" t="s">
        <v>505</v>
      </c>
    </row>
    <row r="791" spans="1:88" x14ac:dyDescent="0.25">
      <c r="A791" t="s">
        <v>37</v>
      </c>
      <c r="B791" t="s">
        <v>100</v>
      </c>
      <c r="C791" t="s">
        <v>402</v>
      </c>
      <c r="D791">
        <v>38275</v>
      </c>
      <c r="E791">
        <v>5</v>
      </c>
      <c r="F791" s="24" t="str">
        <f t="shared" si="64"/>
        <v>2024-6</v>
      </c>
      <c r="O791" t="s">
        <v>10</v>
      </c>
      <c r="P791" t="s">
        <v>101</v>
      </c>
      <c r="Q791">
        <v>10</v>
      </c>
      <c r="AA791">
        <v>38275</v>
      </c>
      <c r="AB791" t="s">
        <v>100</v>
      </c>
      <c r="AD791">
        <f t="shared" si="62"/>
        <v>0</v>
      </c>
      <c r="AE791">
        <f t="shared" si="63"/>
        <v>0</v>
      </c>
      <c r="AG791" t="s">
        <v>10</v>
      </c>
      <c r="AH791" t="s">
        <v>101</v>
      </c>
      <c r="BF791" t="s">
        <v>101</v>
      </c>
      <c r="BG791" t="s">
        <v>10</v>
      </c>
      <c r="BH791">
        <v>10</v>
      </c>
      <c r="BI791" t="s">
        <v>507</v>
      </c>
      <c r="CG791" t="s">
        <v>37</v>
      </c>
      <c r="CH791" t="s">
        <v>100</v>
      </c>
      <c r="CI791">
        <v>38275</v>
      </c>
      <c r="CJ791" t="s">
        <v>505</v>
      </c>
    </row>
    <row r="792" spans="1:88" x14ac:dyDescent="0.25">
      <c r="A792" t="s">
        <v>53</v>
      </c>
      <c r="B792" t="s">
        <v>81</v>
      </c>
      <c r="C792" t="s">
        <v>402</v>
      </c>
      <c r="D792">
        <v>20572</v>
      </c>
      <c r="E792">
        <v>6</v>
      </c>
      <c r="F792" s="24" t="str">
        <f t="shared" si="64"/>
        <v>2024-6</v>
      </c>
      <c r="O792" t="s">
        <v>29</v>
      </c>
      <c r="P792" t="s">
        <v>194</v>
      </c>
      <c r="Q792">
        <v>5</v>
      </c>
      <c r="AA792">
        <v>20572</v>
      </c>
      <c r="AB792" t="s">
        <v>81</v>
      </c>
      <c r="AD792">
        <f t="shared" si="62"/>
        <v>0</v>
      </c>
      <c r="AE792">
        <f t="shared" si="63"/>
        <v>0</v>
      </c>
      <c r="AG792" t="s">
        <v>29</v>
      </c>
      <c r="AH792" t="s">
        <v>194</v>
      </c>
      <c r="BF792" t="s">
        <v>194</v>
      </c>
      <c r="BG792" t="s">
        <v>29</v>
      </c>
      <c r="BH792">
        <v>5</v>
      </c>
      <c r="BI792" t="s">
        <v>507</v>
      </c>
      <c r="CG792" t="s">
        <v>53</v>
      </c>
      <c r="CH792" t="s">
        <v>81</v>
      </c>
      <c r="CI792">
        <v>20572</v>
      </c>
      <c r="CJ792" t="s">
        <v>505</v>
      </c>
    </row>
    <row r="793" spans="1:88" x14ac:dyDescent="0.25">
      <c r="A793" t="s">
        <v>8</v>
      </c>
      <c r="B793" t="s">
        <v>20</v>
      </c>
      <c r="C793" t="s">
        <v>402</v>
      </c>
      <c r="D793">
        <v>95629</v>
      </c>
      <c r="E793">
        <v>9</v>
      </c>
      <c r="F793" s="24" t="str">
        <f t="shared" si="64"/>
        <v>2024-6</v>
      </c>
      <c r="O793" t="s">
        <v>14</v>
      </c>
      <c r="P793" t="s">
        <v>301</v>
      </c>
      <c r="Q793">
        <v>2</v>
      </c>
      <c r="AA793">
        <v>95629</v>
      </c>
      <c r="AB793" t="s">
        <v>20</v>
      </c>
      <c r="AD793">
        <f t="shared" si="62"/>
        <v>0</v>
      </c>
      <c r="AE793">
        <f t="shared" si="63"/>
        <v>0</v>
      </c>
      <c r="AG793" t="s">
        <v>14</v>
      </c>
      <c r="AH793" t="s">
        <v>301</v>
      </c>
      <c r="BF793" t="s">
        <v>301</v>
      </c>
      <c r="BG793" t="s">
        <v>14</v>
      </c>
      <c r="BH793">
        <v>2</v>
      </c>
      <c r="BI793" t="s">
        <v>507</v>
      </c>
      <c r="CG793" t="s">
        <v>8</v>
      </c>
      <c r="CH793" t="s">
        <v>20</v>
      </c>
      <c r="CI793">
        <v>95629</v>
      </c>
      <c r="CJ793" t="s">
        <v>505</v>
      </c>
    </row>
    <row r="794" spans="1:88" x14ac:dyDescent="0.25">
      <c r="A794" t="s">
        <v>29</v>
      </c>
      <c r="B794" t="s">
        <v>58</v>
      </c>
      <c r="C794" t="s">
        <v>402</v>
      </c>
      <c r="D794">
        <v>37672</v>
      </c>
      <c r="E794">
        <v>4</v>
      </c>
      <c r="F794" s="24" t="str">
        <f t="shared" si="64"/>
        <v>2024-6</v>
      </c>
      <c r="O794" t="s">
        <v>29</v>
      </c>
      <c r="P794" t="s">
        <v>139</v>
      </c>
      <c r="Q794">
        <v>10</v>
      </c>
      <c r="AA794">
        <v>37672</v>
      </c>
      <c r="AB794" t="s">
        <v>58</v>
      </c>
      <c r="AD794">
        <f t="shared" si="62"/>
        <v>0</v>
      </c>
      <c r="AE794">
        <f t="shared" si="63"/>
        <v>0</v>
      </c>
      <c r="AG794" t="s">
        <v>29</v>
      </c>
      <c r="AH794" t="s">
        <v>139</v>
      </c>
      <c r="BF794" t="s">
        <v>139</v>
      </c>
      <c r="BG794" t="s">
        <v>29</v>
      </c>
      <c r="BH794">
        <v>10</v>
      </c>
      <c r="BI794" t="s">
        <v>507</v>
      </c>
      <c r="CG794" t="s">
        <v>29</v>
      </c>
      <c r="CH794" t="s">
        <v>58</v>
      </c>
      <c r="CI794">
        <v>37672</v>
      </c>
      <c r="CJ794" t="s">
        <v>505</v>
      </c>
    </row>
    <row r="795" spans="1:88" x14ac:dyDescent="0.25">
      <c r="A795" t="s">
        <v>29</v>
      </c>
      <c r="B795" t="s">
        <v>273</v>
      </c>
      <c r="C795" t="s">
        <v>402</v>
      </c>
      <c r="D795">
        <v>12151</v>
      </c>
      <c r="E795">
        <v>0</v>
      </c>
      <c r="F795" s="24" t="str">
        <f t="shared" si="64"/>
        <v>2024-6</v>
      </c>
      <c r="O795" t="s">
        <v>55</v>
      </c>
      <c r="P795" t="s">
        <v>251</v>
      </c>
      <c r="Q795">
        <v>9</v>
      </c>
      <c r="AA795">
        <v>12151</v>
      </c>
      <c r="AB795" t="s">
        <v>273</v>
      </c>
      <c r="AD795">
        <f t="shared" si="62"/>
        <v>0</v>
      </c>
      <c r="AE795">
        <f t="shared" si="63"/>
        <v>0</v>
      </c>
      <c r="AG795" t="s">
        <v>55</v>
      </c>
      <c r="AH795" t="s">
        <v>251</v>
      </c>
      <c r="BF795" t="s">
        <v>251</v>
      </c>
      <c r="BG795" t="s">
        <v>55</v>
      </c>
      <c r="BH795">
        <v>9</v>
      </c>
      <c r="BI795" t="s">
        <v>507</v>
      </c>
      <c r="CG795" t="s">
        <v>29</v>
      </c>
      <c r="CH795" t="s">
        <v>273</v>
      </c>
      <c r="CI795">
        <v>12151</v>
      </c>
      <c r="CJ795" t="s">
        <v>505</v>
      </c>
    </row>
    <row r="796" spans="1:88" x14ac:dyDescent="0.25">
      <c r="A796" t="s">
        <v>55</v>
      </c>
      <c r="B796" t="s">
        <v>281</v>
      </c>
      <c r="C796" t="s">
        <v>402</v>
      </c>
      <c r="D796">
        <v>89807</v>
      </c>
      <c r="E796">
        <v>7</v>
      </c>
      <c r="F796" s="24" t="str">
        <f t="shared" si="64"/>
        <v>2024-6</v>
      </c>
      <c r="O796" t="s">
        <v>29</v>
      </c>
      <c r="P796" t="s">
        <v>73</v>
      </c>
      <c r="Q796">
        <v>6</v>
      </c>
      <c r="AA796">
        <v>89807</v>
      </c>
      <c r="AB796" t="s">
        <v>281</v>
      </c>
      <c r="AD796">
        <f t="shared" si="62"/>
        <v>0</v>
      </c>
      <c r="AE796">
        <f t="shared" si="63"/>
        <v>0</v>
      </c>
      <c r="AG796" t="s">
        <v>29</v>
      </c>
      <c r="AH796" t="s">
        <v>73</v>
      </c>
      <c r="BF796" t="s">
        <v>73</v>
      </c>
      <c r="BG796" t="s">
        <v>29</v>
      </c>
      <c r="BH796">
        <v>6</v>
      </c>
      <c r="BI796" t="s">
        <v>508</v>
      </c>
      <c r="CG796" t="s">
        <v>55</v>
      </c>
      <c r="CH796" t="s">
        <v>281</v>
      </c>
      <c r="CI796">
        <v>89807</v>
      </c>
      <c r="CJ796" t="s">
        <v>505</v>
      </c>
    </row>
    <row r="797" spans="1:88" x14ac:dyDescent="0.25">
      <c r="A797" t="s">
        <v>8</v>
      </c>
      <c r="B797" t="s">
        <v>139</v>
      </c>
      <c r="C797" t="s">
        <v>403</v>
      </c>
      <c r="D797">
        <v>23447</v>
      </c>
      <c r="E797">
        <v>5</v>
      </c>
      <c r="F797" s="24" t="str">
        <f t="shared" si="64"/>
        <v>2024-6</v>
      </c>
      <c r="O797" t="s">
        <v>16</v>
      </c>
      <c r="P797" t="s">
        <v>147</v>
      </c>
      <c r="Q797">
        <v>9</v>
      </c>
      <c r="AA797">
        <v>23447</v>
      </c>
      <c r="AB797" t="s">
        <v>139</v>
      </c>
      <c r="AD797">
        <f t="shared" si="62"/>
        <v>0</v>
      </c>
      <c r="AE797">
        <f t="shared" si="63"/>
        <v>0</v>
      </c>
      <c r="AG797" t="s">
        <v>16</v>
      </c>
      <c r="AH797" t="s">
        <v>147</v>
      </c>
      <c r="BF797" t="s">
        <v>147</v>
      </c>
      <c r="BG797" t="s">
        <v>16</v>
      </c>
      <c r="BH797">
        <v>9</v>
      </c>
      <c r="BI797" t="s">
        <v>508</v>
      </c>
      <c r="CG797" t="s">
        <v>8</v>
      </c>
      <c r="CH797" t="s">
        <v>139</v>
      </c>
      <c r="CI797">
        <v>23447</v>
      </c>
      <c r="CJ797" t="s">
        <v>505</v>
      </c>
    </row>
    <row r="798" spans="1:88" x14ac:dyDescent="0.25">
      <c r="A798" t="s">
        <v>75</v>
      </c>
      <c r="B798" t="s">
        <v>239</v>
      </c>
      <c r="C798" t="s">
        <v>403</v>
      </c>
      <c r="D798">
        <v>77591</v>
      </c>
      <c r="E798">
        <v>9</v>
      </c>
      <c r="F798" s="24" t="str">
        <f t="shared" si="64"/>
        <v>2024-6</v>
      </c>
      <c r="AA798">
        <v>77591</v>
      </c>
      <c r="AB798" t="s">
        <v>239</v>
      </c>
      <c r="AD798">
        <f t="shared" si="62"/>
        <v>0</v>
      </c>
      <c r="AE798">
        <f t="shared" si="63"/>
        <v>0</v>
      </c>
      <c r="CG798" t="s">
        <v>75</v>
      </c>
      <c r="CH798" t="s">
        <v>239</v>
      </c>
      <c r="CI798">
        <v>77591</v>
      </c>
      <c r="CJ798" t="s">
        <v>505</v>
      </c>
    </row>
    <row r="799" spans="1:88" x14ac:dyDescent="0.25">
      <c r="A799" t="s">
        <v>14</v>
      </c>
      <c r="B799" t="s">
        <v>81</v>
      </c>
      <c r="C799" t="s">
        <v>403</v>
      </c>
      <c r="D799">
        <v>99772</v>
      </c>
      <c r="E799">
        <v>6</v>
      </c>
      <c r="F799" s="24" t="str">
        <f t="shared" si="64"/>
        <v>2024-6</v>
      </c>
      <c r="AA799">
        <v>99772</v>
      </c>
      <c r="AB799" t="s">
        <v>81</v>
      </c>
      <c r="AD799">
        <f t="shared" si="62"/>
        <v>0</v>
      </c>
      <c r="AE799">
        <f t="shared" si="63"/>
        <v>0</v>
      </c>
      <c r="CG799" t="s">
        <v>14</v>
      </c>
      <c r="CH799" t="s">
        <v>81</v>
      </c>
      <c r="CI799">
        <v>99772</v>
      </c>
      <c r="CJ799" t="s">
        <v>505</v>
      </c>
    </row>
    <row r="800" spans="1:88" x14ac:dyDescent="0.25">
      <c r="A800" t="s">
        <v>37</v>
      </c>
      <c r="B800" t="s">
        <v>38</v>
      </c>
      <c r="C800" t="s">
        <v>404</v>
      </c>
      <c r="D800">
        <v>82217</v>
      </c>
      <c r="E800">
        <v>7</v>
      </c>
      <c r="F800" s="24" t="str">
        <f t="shared" si="64"/>
        <v>2024-6</v>
      </c>
      <c r="AA800">
        <v>82217</v>
      </c>
      <c r="AB800" t="s">
        <v>38</v>
      </c>
      <c r="AD800">
        <f t="shared" si="62"/>
        <v>0</v>
      </c>
      <c r="AE800">
        <f t="shared" si="63"/>
        <v>0</v>
      </c>
      <c r="CG800" t="s">
        <v>37</v>
      </c>
      <c r="CH800" t="s">
        <v>38</v>
      </c>
      <c r="CI800">
        <v>82217</v>
      </c>
      <c r="CJ800" t="s">
        <v>505</v>
      </c>
    </row>
    <row r="801" spans="1:88" x14ac:dyDescent="0.25">
      <c r="A801" t="s">
        <v>29</v>
      </c>
      <c r="B801" t="s">
        <v>76</v>
      </c>
      <c r="C801" t="s">
        <v>404</v>
      </c>
      <c r="D801">
        <v>45258</v>
      </c>
      <c r="E801">
        <v>4</v>
      </c>
      <c r="F801" s="24" t="str">
        <f t="shared" si="64"/>
        <v>2024-6</v>
      </c>
      <c r="AA801">
        <v>45258</v>
      </c>
      <c r="AB801" t="s">
        <v>76</v>
      </c>
      <c r="AD801">
        <f t="shared" si="62"/>
        <v>0</v>
      </c>
      <c r="AE801">
        <f t="shared" si="63"/>
        <v>0</v>
      </c>
      <c r="CG801" t="s">
        <v>29</v>
      </c>
      <c r="CH801" t="s">
        <v>76</v>
      </c>
      <c r="CI801">
        <v>45258</v>
      </c>
      <c r="CJ801" t="s">
        <v>505</v>
      </c>
    </row>
    <row r="802" spans="1:88" x14ac:dyDescent="0.25">
      <c r="A802" t="s">
        <v>8</v>
      </c>
      <c r="B802" t="s">
        <v>405</v>
      </c>
      <c r="C802" t="s">
        <v>404</v>
      </c>
      <c r="D802">
        <v>12745</v>
      </c>
      <c r="E802">
        <v>3</v>
      </c>
      <c r="F802" s="24" t="str">
        <f t="shared" si="64"/>
        <v>2024-6</v>
      </c>
      <c r="AA802">
        <v>12745</v>
      </c>
      <c r="AB802" t="s">
        <v>405</v>
      </c>
      <c r="AD802">
        <f t="shared" si="62"/>
        <v>0</v>
      </c>
      <c r="AE802">
        <f t="shared" si="63"/>
        <v>0</v>
      </c>
      <c r="CG802" t="s">
        <v>8</v>
      </c>
      <c r="CH802" t="s">
        <v>405</v>
      </c>
      <c r="CI802">
        <v>12745</v>
      </c>
      <c r="CJ802" t="s">
        <v>505</v>
      </c>
    </row>
    <row r="803" spans="1:88" x14ac:dyDescent="0.25">
      <c r="A803" t="s">
        <v>75</v>
      </c>
      <c r="B803" t="s">
        <v>36</v>
      </c>
      <c r="C803" t="s">
        <v>404</v>
      </c>
      <c r="D803">
        <v>29753</v>
      </c>
      <c r="E803">
        <v>5</v>
      </c>
      <c r="F803" s="24" t="str">
        <f t="shared" si="64"/>
        <v>2024-6</v>
      </c>
      <c r="AA803">
        <v>29753</v>
      </c>
      <c r="AB803" t="s">
        <v>36</v>
      </c>
      <c r="AD803">
        <f t="shared" si="62"/>
        <v>0</v>
      </c>
      <c r="AE803">
        <f t="shared" si="63"/>
        <v>0</v>
      </c>
      <c r="CG803" t="s">
        <v>75</v>
      </c>
      <c r="CH803" t="s">
        <v>36</v>
      </c>
      <c r="CI803">
        <v>29753</v>
      </c>
      <c r="CJ803" t="s">
        <v>505</v>
      </c>
    </row>
    <row r="804" spans="1:88" x14ac:dyDescent="0.25">
      <c r="A804" t="s">
        <v>14</v>
      </c>
      <c r="B804" t="s">
        <v>176</v>
      </c>
      <c r="C804" t="s">
        <v>406</v>
      </c>
      <c r="D804">
        <v>83808</v>
      </c>
      <c r="E804">
        <v>6</v>
      </c>
      <c r="F804" s="24" t="str">
        <f t="shared" si="64"/>
        <v>2024-6</v>
      </c>
      <c r="AA804">
        <v>83808</v>
      </c>
      <c r="AB804" t="s">
        <v>176</v>
      </c>
      <c r="AD804">
        <f t="shared" si="62"/>
        <v>0</v>
      </c>
      <c r="AE804">
        <f t="shared" si="63"/>
        <v>0</v>
      </c>
      <c r="CG804" t="s">
        <v>14</v>
      </c>
      <c r="CH804" t="s">
        <v>176</v>
      </c>
      <c r="CI804">
        <v>83808</v>
      </c>
      <c r="CJ804" t="s">
        <v>505</v>
      </c>
    </row>
    <row r="805" spans="1:88" x14ac:dyDescent="0.25">
      <c r="A805" t="s">
        <v>37</v>
      </c>
      <c r="B805" t="s">
        <v>6</v>
      </c>
      <c r="C805" t="s">
        <v>406</v>
      </c>
      <c r="D805">
        <v>54676</v>
      </c>
      <c r="E805">
        <v>5</v>
      </c>
      <c r="F805" s="24" t="str">
        <f t="shared" si="64"/>
        <v>2024-6</v>
      </c>
      <c r="AA805">
        <v>54676</v>
      </c>
      <c r="AB805" t="s">
        <v>6</v>
      </c>
      <c r="AD805">
        <f t="shared" si="62"/>
        <v>0</v>
      </c>
      <c r="AE805">
        <f t="shared" si="63"/>
        <v>0</v>
      </c>
      <c r="CG805" t="s">
        <v>37</v>
      </c>
      <c r="CH805" t="s">
        <v>6</v>
      </c>
      <c r="CI805">
        <v>54676</v>
      </c>
      <c r="CJ805" t="s">
        <v>505</v>
      </c>
    </row>
    <row r="806" spans="1:88" x14ac:dyDescent="0.25">
      <c r="A806" t="s">
        <v>10</v>
      </c>
      <c r="B806" t="s">
        <v>143</v>
      </c>
      <c r="C806" t="s">
        <v>406</v>
      </c>
      <c r="D806">
        <v>44716</v>
      </c>
      <c r="E806">
        <v>7</v>
      </c>
      <c r="F806" s="24" t="str">
        <f t="shared" si="64"/>
        <v>2024-6</v>
      </c>
      <c r="AA806">
        <v>44716</v>
      </c>
      <c r="AB806" t="s">
        <v>143</v>
      </c>
      <c r="AD806">
        <f t="shared" si="62"/>
        <v>0</v>
      </c>
      <c r="AE806">
        <f t="shared" si="63"/>
        <v>0</v>
      </c>
      <c r="CG806" t="s">
        <v>10</v>
      </c>
      <c r="CH806" t="s">
        <v>143</v>
      </c>
      <c r="CI806">
        <v>44716</v>
      </c>
      <c r="CJ806" t="s">
        <v>505</v>
      </c>
    </row>
    <row r="807" spans="1:88" x14ac:dyDescent="0.25">
      <c r="A807" t="s">
        <v>21</v>
      </c>
      <c r="B807" t="s">
        <v>115</v>
      </c>
      <c r="C807" t="s">
        <v>407</v>
      </c>
      <c r="D807">
        <v>27432</v>
      </c>
      <c r="E807">
        <v>8</v>
      </c>
      <c r="F807" s="24" t="str">
        <f t="shared" si="64"/>
        <v>2024-6</v>
      </c>
      <c r="AA807">
        <v>27432</v>
      </c>
      <c r="AB807" t="s">
        <v>115</v>
      </c>
      <c r="AD807">
        <f t="shared" si="62"/>
        <v>0</v>
      </c>
      <c r="AE807">
        <f t="shared" si="63"/>
        <v>0</v>
      </c>
      <c r="CG807" t="s">
        <v>21</v>
      </c>
      <c r="CH807" t="s">
        <v>115</v>
      </c>
      <c r="CI807">
        <v>27432</v>
      </c>
      <c r="CJ807" t="s">
        <v>505</v>
      </c>
    </row>
    <row r="808" spans="1:88" x14ac:dyDescent="0.25">
      <c r="A808" t="s">
        <v>21</v>
      </c>
      <c r="B808" t="s">
        <v>321</v>
      </c>
      <c r="C808" t="s">
        <v>407</v>
      </c>
      <c r="D808">
        <v>14718</v>
      </c>
      <c r="E808">
        <v>6</v>
      </c>
      <c r="F808" s="24" t="str">
        <f t="shared" si="64"/>
        <v>2024-6</v>
      </c>
      <c r="AA808">
        <v>14718</v>
      </c>
      <c r="AB808" t="s">
        <v>321</v>
      </c>
      <c r="AD808">
        <f t="shared" si="62"/>
        <v>0</v>
      </c>
      <c r="AE808">
        <f t="shared" si="63"/>
        <v>0</v>
      </c>
      <c r="CG808" t="s">
        <v>21</v>
      </c>
      <c r="CH808" t="s">
        <v>321</v>
      </c>
      <c r="CI808">
        <v>14718</v>
      </c>
      <c r="CJ808" t="s">
        <v>505</v>
      </c>
    </row>
    <row r="809" spans="1:88" x14ac:dyDescent="0.25">
      <c r="A809" t="s">
        <v>14</v>
      </c>
      <c r="B809" t="s">
        <v>100</v>
      </c>
      <c r="C809" t="s">
        <v>407</v>
      </c>
      <c r="D809">
        <v>13677</v>
      </c>
      <c r="E809">
        <v>3</v>
      </c>
      <c r="F809" s="24" t="str">
        <f t="shared" si="64"/>
        <v>2024-6</v>
      </c>
      <c r="AA809">
        <v>13677</v>
      </c>
      <c r="AB809" t="s">
        <v>100</v>
      </c>
      <c r="AD809">
        <f t="shared" si="62"/>
        <v>0</v>
      </c>
      <c r="AE809">
        <f t="shared" si="63"/>
        <v>0</v>
      </c>
      <c r="CG809" t="s">
        <v>14</v>
      </c>
      <c r="CH809" t="s">
        <v>100</v>
      </c>
      <c r="CI809">
        <v>13677</v>
      </c>
      <c r="CJ809" t="s">
        <v>505</v>
      </c>
    </row>
    <row r="810" spans="1:88" x14ac:dyDescent="0.25">
      <c r="A810" t="s">
        <v>55</v>
      </c>
      <c r="B810" t="s">
        <v>227</v>
      </c>
      <c r="C810" t="s">
        <v>407</v>
      </c>
      <c r="D810">
        <v>64793</v>
      </c>
      <c r="E810">
        <v>3</v>
      </c>
      <c r="F810" s="24" t="str">
        <f t="shared" si="64"/>
        <v>2024-6</v>
      </c>
      <c r="AA810">
        <v>64793</v>
      </c>
      <c r="AB810" t="s">
        <v>227</v>
      </c>
      <c r="AD810">
        <f t="shared" si="62"/>
        <v>0</v>
      </c>
      <c r="AE810">
        <f t="shared" si="63"/>
        <v>0</v>
      </c>
      <c r="CG810" t="s">
        <v>55</v>
      </c>
      <c r="CH810" t="s">
        <v>227</v>
      </c>
      <c r="CI810">
        <v>64793</v>
      </c>
      <c r="CJ810" t="s">
        <v>505</v>
      </c>
    </row>
    <row r="811" spans="1:88" x14ac:dyDescent="0.25">
      <c r="A811" t="s">
        <v>16</v>
      </c>
      <c r="B811" t="s">
        <v>135</v>
      </c>
      <c r="C811" t="s">
        <v>407</v>
      </c>
      <c r="D811">
        <v>76294</v>
      </c>
      <c r="E811">
        <v>8</v>
      </c>
      <c r="F811" s="24" t="str">
        <f t="shared" si="64"/>
        <v>2024-6</v>
      </c>
      <c r="AA811">
        <v>76294</v>
      </c>
      <c r="AB811" t="s">
        <v>135</v>
      </c>
      <c r="AD811">
        <f t="shared" si="62"/>
        <v>0</v>
      </c>
      <c r="AE811">
        <f t="shared" si="63"/>
        <v>0</v>
      </c>
      <c r="CG811" t="s">
        <v>16</v>
      </c>
      <c r="CH811" t="s">
        <v>135</v>
      </c>
      <c r="CI811">
        <v>76294</v>
      </c>
      <c r="CJ811" t="s">
        <v>505</v>
      </c>
    </row>
    <row r="812" spans="1:88" x14ac:dyDescent="0.25">
      <c r="A812" t="s">
        <v>55</v>
      </c>
      <c r="B812" t="s">
        <v>347</v>
      </c>
      <c r="C812" t="s">
        <v>407</v>
      </c>
      <c r="D812">
        <v>85209</v>
      </c>
      <c r="E812">
        <v>4</v>
      </c>
      <c r="F812" s="24" t="str">
        <f t="shared" si="64"/>
        <v>2024-6</v>
      </c>
      <c r="AA812">
        <v>85209</v>
      </c>
      <c r="AB812" t="s">
        <v>347</v>
      </c>
      <c r="AD812">
        <f t="shared" si="62"/>
        <v>0</v>
      </c>
      <c r="AE812">
        <f t="shared" si="63"/>
        <v>0</v>
      </c>
      <c r="CG812" t="s">
        <v>55</v>
      </c>
      <c r="CH812" t="s">
        <v>347</v>
      </c>
      <c r="CI812">
        <v>85209</v>
      </c>
      <c r="CJ812" t="s">
        <v>505</v>
      </c>
    </row>
    <row r="813" spans="1:88" x14ac:dyDescent="0.25">
      <c r="A813" t="s">
        <v>16</v>
      </c>
      <c r="B813" t="s">
        <v>231</v>
      </c>
      <c r="C813" t="s">
        <v>407</v>
      </c>
      <c r="D813">
        <v>34660</v>
      </c>
      <c r="E813">
        <v>6</v>
      </c>
      <c r="F813" s="24" t="str">
        <f t="shared" si="64"/>
        <v>2024-6</v>
      </c>
      <c r="AA813">
        <v>34660</v>
      </c>
      <c r="AB813" t="s">
        <v>231</v>
      </c>
      <c r="AD813">
        <f t="shared" si="62"/>
        <v>0</v>
      </c>
      <c r="AE813">
        <f t="shared" si="63"/>
        <v>0</v>
      </c>
      <c r="CG813" t="s">
        <v>16</v>
      </c>
      <c r="CH813" t="s">
        <v>231</v>
      </c>
      <c r="CI813">
        <v>34660</v>
      </c>
      <c r="CJ813" t="s">
        <v>505</v>
      </c>
    </row>
    <row r="814" spans="1:88" x14ac:dyDescent="0.25">
      <c r="A814" t="s">
        <v>21</v>
      </c>
      <c r="B814" t="s">
        <v>193</v>
      </c>
      <c r="C814" t="s">
        <v>407</v>
      </c>
      <c r="D814">
        <v>90918</v>
      </c>
      <c r="E814">
        <v>5</v>
      </c>
      <c r="F814" s="24" t="str">
        <f t="shared" si="64"/>
        <v>2024-6</v>
      </c>
      <c r="AA814">
        <v>90918</v>
      </c>
      <c r="AB814" t="s">
        <v>193</v>
      </c>
      <c r="AD814">
        <f t="shared" si="62"/>
        <v>0</v>
      </c>
      <c r="AE814">
        <f t="shared" si="63"/>
        <v>0</v>
      </c>
      <c r="CG814" t="s">
        <v>21</v>
      </c>
      <c r="CH814" t="s">
        <v>193</v>
      </c>
      <c r="CI814">
        <v>90918</v>
      </c>
      <c r="CJ814" t="s">
        <v>505</v>
      </c>
    </row>
    <row r="815" spans="1:88" x14ac:dyDescent="0.25">
      <c r="A815" t="s">
        <v>10</v>
      </c>
      <c r="B815" t="s">
        <v>88</v>
      </c>
      <c r="C815" t="s">
        <v>408</v>
      </c>
      <c r="D815">
        <v>15981</v>
      </c>
      <c r="E815">
        <v>7</v>
      </c>
      <c r="F815" s="24" t="str">
        <f t="shared" si="64"/>
        <v>2024-6</v>
      </c>
      <c r="AA815">
        <v>15981</v>
      </c>
      <c r="AB815" t="s">
        <v>88</v>
      </c>
      <c r="AD815">
        <f t="shared" si="62"/>
        <v>0</v>
      </c>
      <c r="AE815">
        <f t="shared" si="63"/>
        <v>0</v>
      </c>
      <c r="CG815" t="s">
        <v>10</v>
      </c>
      <c r="CH815" t="s">
        <v>88</v>
      </c>
      <c r="CI815">
        <v>15981</v>
      </c>
      <c r="CJ815" t="s">
        <v>505</v>
      </c>
    </row>
    <row r="816" spans="1:88" x14ac:dyDescent="0.25">
      <c r="A816" t="s">
        <v>35</v>
      </c>
      <c r="B816" t="s">
        <v>92</v>
      </c>
      <c r="C816" t="s">
        <v>408</v>
      </c>
      <c r="D816">
        <v>19728</v>
      </c>
      <c r="E816">
        <v>7</v>
      </c>
      <c r="F816" s="24" t="str">
        <f t="shared" si="64"/>
        <v>2024-6</v>
      </c>
      <c r="AA816">
        <v>19728</v>
      </c>
      <c r="AB816" t="s">
        <v>92</v>
      </c>
      <c r="AD816">
        <f t="shared" si="62"/>
        <v>0</v>
      </c>
      <c r="AE816">
        <f t="shared" si="63"/>
        <v>0</v>
      </c>
      <c r="CG816" t="s">
        <v>35</v>
      </c>
      <c r="CH816" t="s">
        <v>92</v>
      </c>
      <c r="CI816">
        <v>19728</v>
      </c>
      <c r="CJ816" t="s">
        <v>505</v>
      </c>
    </row>
    <row r="817" spans="1:88" x14ac:dyDescent="0.25">
      <c r="A817" t="s">
        <v>53</v>
      </c>
      <c r="B817" t="s">
        <v>409</v>
      </c>
      <c r="C817" t="s">
        <v>410</v>
      </c>
      <c r="D817">
        <v>20927</v>
      </c>
      <c r="E817">
        <v>5</v>
      </c>
      <c r="F817" s="24" t="str">
        <f t="shared" si="64"/>
        <v>2024-6</v>
      </c>
      <c r="AA817">
        <v>20927</v>
      </c>
      <c r="AB817" t="s">
        <v>409</v>
      </c>
      <c r="AD817">
        <f t="shared" si="62"/>
        <v>0</v>
      </c>
      <c r="AE817">
        <f t="shared" si="63"/>
        <v>0</v>
      </c>
      <c r="CG817" t="s">
        <v>53</v>
      </c>
      <c r="CH817" t="s">
        <v>409</v>
      </c>
      <c r="CI817">
        <v>20927</v>
      </c>
      <c r="CJ817" t="s">
        <v>505</v>
      </c>
    </row>
    <row r="818" spans="1:88" x14ac:dyDescent="0.25">
      <c r="A818" t="s">
        <v>5</v>
      </c>
      <c r="B818" t="s">
        <v>234</v>
      </c>
      <c r="C818" t="s">
        <v>411</v>
      </c>
      <c r="D818">
        <v>81574</v>
      </c>
      <c r="E818">
        <v>7</v>
      </c>
      <c r="F818" s="24" t="str">
        <f t="shared" si="64"/>
        <v>2024-6</v>
      </c>
      <c r="AA818">
        <v>81574</v>
      </c>
      <c r="AB818" t="s">
        <v>234</v>
      </c>
      <c r="AD818">
        <f t="shared" si="62"/>
        <v>0</v>
      </c>
      <c r="AE818">
        <f t="shared" si="63"/>
        <v>0</v>
      </c>
      <c r="CG818" t="s">
        <v>5</v>
      </c>
      <c r="CH818" t="s">
        <v>234</v>
      </c>
      <c r="CI818">
        <v>81574</v>
      </c>
      <c r="CJ818" t="s">
        <v>505</v>
      </c>
    </row>
    <row r="819" spans="1:88" x14ac:dyDescent="0.25">
      <c r="A819" t="s">
        <v>10</v>
      </c>
      <c r="B819" t="s">
        <v>79</v>
      </c>
      <c r="C819" t="s">
        <v>412</v>
      </c>
      <c r="D819">
        <v>33153</v>
      </c>
      <c r="E819">
        <v>9</v>
      </c>
      <c r="F819" s="24" t="str">
        <f t="shared" si="64"/>
        <v>2024-6</v>
      </c>
      <c r="AA819">
        <v>33153</v>
      </c>
      <c r="AB819" t="s">
        <v>79</v>
      </c>
      <c r="AD819">
        <f t="shared" si="62"/>
        <v>0</v>
      </c>
      <c r="AE819">
        <f t="shared" si="63"/>
        <v>0</v>
      </c>
      <c r="CG819" t="s">
        <v>10</v>
      </c>
      <c r="CH819" t="s">
        <v>79</v>
      </c>
      <c r="CI819">
        <v>33153</v>
      </c>
      <c r="CJ819" t="s">
        <v>505</v>
      </c>
    </row>
    <row r="820" spans="1:88" x14ac:dyDescent="0.25">
      <c r="A820" t="s">
        <v>75</v>
      </c>
      <c r="B820" t="s">
        <v>12</v>
      </c>
      <c r="C820" t="s">
        <v>412</v>
      </c>
      <c r="D820">
        <v>51564</v>
      </c>
      <c r="E820">
        <v>8</v>
      </c>
      <c r="F820" s="24" t="str">
        <f t="shared" si="64"/>
        <v>2024-6</v>
      </c>
      <c r="AA820">
        <v>51564</v>
      </c>
      <c r="AB820" t="s">
        <v>12</v>
      </c>
      <c r="AD820">
        <f t="shared" si="62"/>
        <v>0</v>
      </c>
      <c r="AE820">
        <f t="shared" si="63"/>
        <v>0</v>
      </c>
      <c r="CG820" t="s">
        <v>75</v>
      </c>
      <c r="CH820" t="s">
        <v>12</v>
      </c>
      <c r="CI820">
        <v>51564</v>
      </c>
      <c r="CJ820" t="s">
        <v>505</v>
      </c>
    </row>
    <row r="821" spans="1:88" x14ac:dyDescent="0.25">
      <c r="A821" t="s">
        <v>21</v>
      </c>
      <c r="B821" t="s">
        <v>134</v>
      </c>
      <c r="C821" t="s">
        <v>412</v>
      </c>
      <c r="D821">
        <v>67752</v>
      </c>
      <c r="E821">
        <v>5</v>
      </c>
      <c r="F821" s="24" t="str">
        <f t="shared" si="64"/>
        <v>2024-6</v>
      </c>
      <c r="AA821">
        <v>67752</v>
      </c>
      <c r="AB821" t="s">
        <v>134</v>
      </c>
      <c r="AD821">
        <f t="shared" si="62"/>
        <v>0</v>
      </c>
      <c r="AE821">
        <f t="shared" si="63"/>
        <v>0</v>
      </c>
      <c r="CG821" t="s">
        <v>21</v>
      </c>
      <c r="CH821" t="s">
        <v>134</v>
      </c>
      <c r="CI821">
        <v>67752</v>
      </c>
      <c r="CJ821" t="s">
        <v>505</v>
      </c>
    </row>
    <row r="822" spans="1:88" x14ac:dyDescent="0.25">
      <c r="A822" t="s">
        <v>21</v>
      </c>
      <c r="B822" t="s">
        <v>144</v>
      </c>
      <c r="C822" t="s">
        <v>412</v>
      </c>
      <c r="D822">
        <v>31503</v>
      </c>
      <c r="E822">
        <v>7</v>
      </c>
      <c r="F822" s="24" t="str">
        <f t="shared" si="64"/>
        <v>2024-6</v>
      </c>
      <c r="AA822">
        <v>31503</v>
      </c>
      <c r="AB822" t="s">
        <v>144</v>
      </c>
      <c r="AD822">
        <f t="shared" si="62"/>
        <v>0</v>
      </c>
      <c r="AE822">
        <f t="shared" si="63"/>
        <v>0</v>
      </c>
      <c r="CG822" t="s">
        <v>21</v>
      </c>
      <c r="CH822" t="s">
        <v>144</v>
      </c>
      <c r="CI822">
        <v>31503</v>
      </c>
      <c r="CJ822" t="s">
        <v>505</v>
      </c>
    </row>
    <row r="823" spans="1:88" x14ac:dyDescent="0.25">
      <c r="A823" t="s">
        <v>35</v>
      </c>
      <c r="B823" t="s">
        <v>160</v>
      </c>
      <c r="C823" t="s">
        <v>413</v>
      </c>
      <c r="D823">
        <v>61451</v>
      </c>
      <c r="E823">
        <v>10</v>
      </c>
      <c r="F823" s="24" t="str">
        <f t="shared" si="64"/>
        <v>2024-6</v>
      </c>
      <c r="AA823">
        <v>61451</v>
      </c>
      <c r="AB823" t="s">
        <v>160</v>
      </c>
      <c r="AD823">
        <f t="shared" si="62"/>
        <v>0</v>
      </c>
      <c r="AE823">
        <f t="shared" si="63"/>
        <v>0</v>
      </c>
      <c r="CG823" t="s">
        <v>35</v>
      </c>
      <c r="CH823" t="s">
        <v>160</v>
      </c>
      <c r="CI823">
        <v>61451</v>
      </c>
      <c r="CJ823" t="s">
        <v>505</v>
      </c>
    </row>
    <row r="824" spans="1:88" x14ac:dyDescent="0.25">
      <c r="A824" t="s">
        <v>75</v>
      </c>
      <c r="B824" t="s">
        <v>130</v>
      </c>
      <c r="C824" t="s">
        <v>413</v>
      </c>
      <c r="D824">
        <v>58346</v>
      </c>
      <c r="E824">
        <v>5</v>
      </c>
      <c r="F824" s="24" t="str">
        <f t="shared" si="64"/>
        <v>2024-6</v>
      </c>
      <c r="AA824">
        <v>58346</v>
      </c>
      <c r="AB824" t="s">
        <v>130</v>
      </c>
      <c r="AD824">
        <f t="shared" si="62"/>
        <v>0</v>
      </c>
      <c r="AE824">
        <f t="shared" si="63"/>
        <v>0</v>
      </c>
      <c r="CG824" t="s">
        <v>75</v>
      </c>
      <c r="CH824" t="s">
        <v>130</v>
      </c>
      <c r="CI824">
        <v>58346</v>
      </c>
      <c r="CJ824" t="s">
        <v>505</v>
      </c>
    </row>
    <row r="825" spans="1:88" x14ac:dyDescent="0.25">
      <c r="A825" t="s">
        <v>55</v>
      </c>
      <c r="B825" t="s">
        <v>39</v>
      </c>
      <c r="C825" t="s">
        <v>413</v>
      </c>
      <c r="D825">
        <v>85774</v>
      </c>
      <c r="E825">
        <v>3</v>
      </c>
      <c r="F825" s="24" t="str">
        <f t="shared" si="64"/>
        <v>2024-6</v>
      </c>
      <c r="AA825">
        <v>85774</v>
      </c>
      <c r="AB825" t="s">
        <v>39</v>
      </c>
      <c r="AD825">
        <f t="shared" si="62"/>
        <v>0</v>
      </c>
      <c r="AE825">
        <f t="shared" si="63"/>
        <v>0</v>
      </c>
      <c r="CG825" t="s">
        <v>55</v>
      </c>
      <c r="CH825" t="s">
        <v>39</v>
      </c>
      <c r="CI825">
        <v>85774</v>
      </c>
      <c r="CJ825" t="s">
        <v>505</v>
      </c>
    </row>
    <row r="826" spans="1:88" x14ac:dyDescent="0.25">
      <c r="A826" t="s">
        <v>5</v>
      </c>
      <c r="B826" t="s">
        <v>76</v>
      </c>
      <c r="C826" t="s">
        <v>413</v>
      </c>
      <c r="D826">
        <v>28648</v>
      </c>
      <c r="E826">
        <v>7</v>
      </c>
      <c r="F826" s="24" t="str">
        <f t="shared" si="64"/>
        <v>2024-6</v>
      </c>
      <c r="AA826">
        <v>28648</v>
      </c>
      <c r="AB826" t="s">
        <v>76</v>
      </c>
      <c r="AD826">
        <f t="shared" si="62"/>
        <v>0</v>
      </c>
      <c r="AE826">
        <f t="shared" si="63"/>
        <v>0</v>
      </c>
      <c r="CG826" t="s">
        <v>5</v>
      </c>
      <c r="CH826" t="s">
        <v>76</v>
      </c>
      <c r="CI826">
        <v>28648</v>
      </c>
      <c r="CJ826" t="s">
        <v>505</v>
      </c>
    </row>
    <row r="827" spans="1:88" x14ac:dyDescent="0.25">
      <c r="A827" t="s">
        <v>55</v>
      </c>
      <c r="B827" t="s">
        <v>347</v>
      </c>
      <c r="C827" t="s">
        <v>413</v>
      </c>
      <c r="D827">
        <v>47148</v>
      </c>
      <c r="E827">
        <v>7</v>
      </c>
      <c r="F827" s="24" t="str">
        <f t="shared" si="64"/>
        <v>2024-6</v>
      </c>
      <c r="AA827">
        <v>47148</v>
      </c>
      <c r="AB827" t="s">
        <v>347</v>
      </c>
      <c r="AD827">
        <f t="shared" si="62"/>
        <v>0</v>
      </c>
      <c r="AE827">
        <f t="shared" si="63"/>
        <v>0</v>
      </c>
      <c r="CG827" t="s">
        <v>55</v>
      </c>
      <c r="CH827" t="s">
        <v>347</v>
      </c>
      <c r="CI827">
        <v>47148</v>
      </c>
      <c r="CJ827" t="s">
        <v>505</v>
      </c>
    </row>
    <row r="828" spans="1:88" x14ac:dyDescent="0.25">
      <c r="A828" t="s">
        <v>14</v>
      </c>
      <c r="B828" t="s">
        <v>171</v>
      </c>
      <c r="C828" t="s">
        <v>413</v>
      </c>
      <c r="D828">
        <v>24362</v>
      </c>
      <c r="E828">
        <v>6</v>
      </c>
      <c r="F828" s="24" t="str">
        <f t="shared" si="64"/>
        <v>2024-6</v>
      </c>
      <c r="AA828">
        <v>24362</v>
      </c>
      <c r="AB828" t="s">
        <v>171</v>
      </c>
      <c r="AD828">
        <f t="shared" si="62"/>
        <v>0</v>
      </c>
      <c r="AE828">
        <f t="shared" si="63"/>
        <v>0</v>
      </c>
      <c r="CG828" t="s">
        <v>14</v>
      </c>
      <c r="CH828" t="s">
        <v>171</v>
      </c>
      <c r="CI828">
        <v>24362</v>
      </c>
      <c r="CJ828" t="s">
        <v>505</v>
      </c>
    </row>
    <row r="829" spans="1:88" x14ac:dyDescent="0.25">
      <c r="A829" t="s">
        <v>14</v>
      </c>
      <c r="B829" t="s">
        <v>6</v>
      </c>
      <c r="C829" t="s">
        <v>413</v>
      </c>
      <c r="D829">
        <v>90729</v>
      </c>
      <c r="E829">
        <v>7</v>
      </c>
      <c r="F829" s="24" t="str">
        <f t="shared" si="64"/>
        <v>2024-6</v>
      </c>
      <c r="AA829">
        <v>90729</v>
      </c>
      <c r="AB829" t="s">
        <v>6</v>
      </c>
      <c r="AD829">
        <f t="shared" si="62"/>
        <v>0</v>
      </c>
      <c r="AE829">
        <f t="shared" si="63"/>
        <v>0</v>
      </c>
      <c r="CG829" t="s">
        <v>14</v>
      </c>
      <c r="CH829" t="s">
        <v>6</v>
      </c>
      <c r="CI829">
        <v>90729</v>
      </c>
      <c r="CJ829" t="s">
        <v>505</v>
      </c>
    </row>
    <row r="830" spans="1:88" x14ac:dyDescent="0.25">
      <c r="A830" t="s">
        <v>10</v>
      </c>
      <c r="B830" t="s">
        <v>170</v>
      </c>
      <c r="C830" t="s">
        <v>413</v>
      </c>
      <c r="D830">
        <v>87263</v>
      </c>
      <c r="E830">
        <v>0</v>
      </c>
      <c r="F830" s="24" t="str">
        <f t="shared" si="64"/>
        <v>2024-6</v>
      </c>
      <c r="AA830">
        <v>87263</v>
      </c>
      <c r="AB830" t="s">
        <v>170</v>
      </c>
      <c r="AD830">
        <f t="shared" si="62"/>
        <v>0</v>
      </c>
      <c r="AE830">
        <f t="shared" si="63"/>
        <v>0</v>
      </c>
      <c r="CG830" t="s">
        <v>10</v>
      </c>
      <c r="CH830" t="s">
        <v>170</v>
      </c>
      <c r="CI830">
        <v>87263</v>
      </c>
      <c r="CJ830" t="s">
        <v>505</v>
      </c>
    </row>
    <row r="831" spans="1:88" x14ac:dyDescent="0.25">
      <c r="A831" t="s">
        <v>21</v>
      </c>
      <c r="B831" t="s">
        <v>81</v>
      </c>
      <c r="C831" t="s">
        <v>413</v>
      </c>
      <c r="D831">
        <v>63860</v>
      </c>
      <c r="E831">
        <v>6</v>
      </c>
      <c r="F831" s="24" t="str">
        <f t="shared" si="64"/>
        <v>2024-6</v>
      </c>
      <c r="AA831">
        <v>63860</v>
      </c>
      <c r="AB831" t="s">
        <v>81</v>
      </c>
      <c r="AD831">
        <f t="shared" si="62"/>
        <v>0</v>
      </c>
      <c r="AE831">
        <f t="shared" si="63"/>
        <v>0</v>
      </c>
      <c r="CG831" t="s">
        <v>21</v>
      </c>
      <c r="CH831" t="s">
        <v>81</v>
      </c>
      <c r="CI831">
        <v>63860</v>
      </c>
      <c r="CJ831" t="s">
        <v>505</v>
      </c>
    </row>
    <row r="832" spans="1:88" x14ac:dyDescent="0.25">
      <c r="A832" t="s">
        <v>10</v>
      </c>
      <c r="B832" t="s">
        <v>180</v>
      </c>
      <c r="C832" t="s">
        <v>413</v>
      </c>
      <c r="D832">
        <v>97082</v>
      </c>
      <c r="E832">
        <v>1</v>
      </c>
      <c r="F832" s="24" t="str">
        <f t="shared" si="64"/>
        <v>2024-6</v>
      </c>
      <c r="AA832">
        <v>97082</v>
      </c>
      <c r="AB832" t="s">
        <v>180</v>
      </c>
      <c r="AD832">
        <f t="shared" si="62"/>
        <v>0</v>
      </c>
      <c r="AE832">
        <f t="shared" si="63"/>
        <v>0</v>
      </c>
      <c r="CG832" t="s">
        <v>10</v>
      </c>
      <c r="CH832" t="s">
        <v>180</v>
      </c>
      <c r="CI832">
        <v>97082</v>
      </c>
      <c r="CJ832" t="s">
        <v>505</v>
      </c>
    </row>
    <row r="833" spans="1:88" x14ac:dyDescent="0.25">
      <c r="A833" t="s">
        <v>16</v>
      </c>
      <c r="B833" t="s">
        <v>139</v>
      </c>
      <c r="C833" t="s">
        <v>414</v>
      </c>
      <c r="D833">
        <v>79590</v>
      </c>
      <c r="E833">
        <v>5</v>
      </c>
      <c r="F833" s="24" t="str">
        <f t="shared" si="64"/>
        <v>2024-6</v>
      </c>
      <c r="AA833">
        <v>79590</v>
      </c>
      <c r="AB833" t="s">
        <v>139</v>
      </c>
      <c r="AD833">
        <f t="shared" si="62"/>
        <v>0</v>
      </c>
      <c r="AE833">
        <f t="shared" si="63"/>
        <v>0</v>
      </c>
      <c r="CG833" t="s">
        <v>16</v>
      </c>
      <c r="CH833" t="s">
        <v>139</v>
      </c>
      <c r="CI833">
        <v>79590</v>
      </c>
      <c r="CJ833" t="s">
        <v>505</v>
      </c>
    </row>
    <row r="834" spans="1:88" x14ac:dyDescent="0.25">
      <c r="A834" t="s">
        <v>37</v>
      </c>
      <c r="B834" t="s">
        <v>39</v>
      </c>
      <c r="C834" t="s">
        <v>414</v>
      </c>
      <c r="D834">
        <v>37978</v>
      </c>
      <c r="E834">
        <v>5</v>
      </c>
      <c r="F834" s="24" t="str">
        <f t="shared" si="64"/>
        <v>2024-6</v>
      </c>
      <c r="AA834">
        <v>37978</v>
      </c>
      <c r="AB834" t="s">
        <v>39</v>
      </c>
      <c r="AD834">
        <f t="shared" ref="AD834:AD897" si="65">COUNTIF(AB:AB,AC834)</f>
        <v>0</v>
      </c>
      <c r="AE834">
        <f t="shared" ref="AE834:AE897" si="66">SUMIF(AB:AB,AC834,AA:AA)</f>
        <v>0</v>
      </c>
      <c r="CG834" t="s">
        <v>37</v>
      </c>
      <c r="CH834" t="s">
        <v>39</v>
      </c>
      <c r="CI834">
        <v>37978</v>
      </c>
      <c r="CJ834" t="s">
        <v>505</v>
      </c>
    </row>
    <row r="835" spans="1:88" x14ac:dyDescent="0.25">
      <c r="A835" t="s">
        <v>5</v>
      </c>
      <c r="B835" t="s">
        <v>118</v>
      </c>
      <c r="C835" t="s">
        <v>415</v>
      </c>
      <c r="D835">
        <v>58207</v>
      </c>
      <c r="E835">
        <v>4</v>
      </c>
      <c r="F835" s="24" t="str">
        <f t="shared" ref="F835:F898" si="67">YEAR(C835)&amp;"-"&amp;MONTH(C835)</f>
        <v>2024-6</v>
      </c>
      <c r="AA835">
        <v>58207</v>
      </c>
      <c r="AB835" t="s">
        <v>118</v>
      </c>
      <c r="AD835">
        <f t="shared" si="65"/>
        <v>0</v>
      </c>
      <c r="AE835">
        <f t="shared" si="66"/>
        <v>0</v>
      </c>
      <c r="CG835" t="s">
        <v>5</v>
      </c>
      <c r="CH835" t="s">
        <v>118</v>
      </c>
      <c r="CI835">
        <v>58207</v>
      </c>
      <c r="CJ835" t="s">
        <v>505</v>
      </c>
    </row>
    <row r="836" spans="1:88" x14ac:dyDescent="0.25">
      <c r="A836" t="s">
        <v>14</v>
      </c>
      <c r="B836" t="s">
        <v>193</v>
      </c>
      <c r="C836" t="s">
        <v>416</v>
      </c>
      <c r="D836">
        <v>13204</v>
      </c>
      <c r="E836">
        <v>4</v>
      </c>
      <c r="F836" s="24" t="str">
        <f t="shared" si="67"/>
        <v>2024-6</v>
      </c>
      <c r="AA836">
        <v>13204</v>
      </c>
      <c r="AB836" t="s">
        <v>193</v>
      </c>
      <c r="AD836">
        <f t="shared" si="65"/>
        <v>0</v>
      </c>
      <c r="AE836">
        <f t="shared" si="66"/>
        <v>0</v>
      </c>
      <c r="CG836" t="s">
        <v>14</v>
      </c>
      <c r="CH836" t="s">
        <v>193</v>
      </c>
      <c r="CI836">
        <v>13204</v>
      </c>
      <c r="CJ836" t="s">
        <v>505</v>
      </c>
    </row>
    <row r="837" spans="1:88" x14ac:dyDescent="0.25">
      <c r="A837" t="s">
        <v>10</v>
      </c>
      <c r="B837" t="s">
        <v>94</v>
      </c>
      <c r="C837" t="s">
        <v>416</v>
      </c>
      <c r="D837">
        <v>22447</v>
      </c>
      <c r="E837">
        <v>3</v>
      </c>
      <c r="F837" s="24" t="str">
        <f t="shared" si="67"/>
        <v>2024-6</v>
      </c>
      <c r="AA837">
        <v>22447</v>
      </c>
      <c r="AB837" t="s">
        <v>94</v>
      </c>
      <c r="AD837">
        <f t="shared" si="65"/>
        <v>0</v>
      </c>
      <c r="AE837">
        <f t="shared" si="66"/>
        <v>0</v>
      </c>
      <c r="CG837" t="s">
        <v>10</v>
      </c>
      <c r="CH837" t="s">
        <v>94</v>
      </c>
      <c r="CI837">
        <v>22447</v>
      </c>
      <c r="CJ837" t="s">
        <v>505</v>
      </c>
    </row>
    <row r="838" spans="1:88" x14ac:dyDescent="0.25">
      <c r="A838" t="s">
        <v>35</v>
      </c>
      <c r="B838" t="s">
        <v>11</v>
      </c>
      <c r="C838" t="s">
        <v>417</v>
      </c>
      <c r="D838">
        <v>32781</v>
      </c>
      <c r="E838">
        <v>2</v>
      </c>
      <c r="F838" s="24" t="str">
        <f t="shared" si="67"/>
        <v>2024-6</v>
      </c>
      <c r="AA838">
        <v>32781</v>
      </c>
      <c r="AB838" t="s">
        <v>11</v>
      </c>
      <c r="AD838">
        <f t="shared" si="65"/>
        <v>0</v>
      </c>
      <c r="AE838">
        <f t="shared" si="66"/>
        <v>0</v>
      </c>
      <c r="CG838" t="s">
        <v>35</v>
      </c>
      <c r="CH838" t="s">
        <v>11</v>
      </c>
      <c r="CI838">
        <v>32781</v>
      </c>
      <c r="CJ838" t="s">
        <v>505</v>
      </c>
    </row>
    <row r="839" spans="1:88" x14ac:dyDescent="0.25">
      <c r="A839" t="s">
        <v>21</v>
      </c>
      <c r="B839" t="s">
        <v>418</v>
      </c>
      <c r="C839" t="s">
        <v>417</v>
      </c>
      <c r="D839">
        <v>17529</v>
      </c>
      <c r="E839">
        <v>6</v>
      </c>
      <c r="F839" s="24" t="str">
        <f t="shared" si="67"/>
        <v>2024-6</v>
      </c>
      <c r="AA839">
        <v>17529</v>
      </c>
      <c r="AB839" t="s">
        <v>418</v>
      </c>
      <c r="AD839">
        <f t="shared" si="65"/>
        <v>0</v>
      </c>
      <c r="AE839">
        <f t="shared" si="66"/>
        <v>0</v>
      </c>
      <c r="CG839" t="s">
        <v>21</v>
      </c>
      <c r="CH839" t="s">
        <v>418</v>
      </c>
      <c r="CI839">
        <v>17529</v>
      </c>
      <c r="CJ839" t="s">
        <v>505</v>
      </c>
    </row>
    <row r="840" spans="1:88" x14ac:dyDescent="0.25">
      <c r="A840" t="s">
        <v>53</v>
      </c>
      <c r="B840" t="s">
        <v>142</v>
      </c>
      <c r="C840" t="s">
        <v>417</v>
      </c>
      <c r="D840">
        <v>81788</v>
      </c>
      <c r="E840">
        <v>5</v>
      </c>
      <c r="F840" s="24" t="str">
        <f t="shared" si="67"/>
        <v>2024-6</v>
      </c>
      <c r="AA840">
        <v>81788</v>
      </c>
      <c r="AB840" t="s">
        <v>142</v>
      </c>
      <c r="AD840">
        <f t="shared" si="65"/>
        <v>0</v>
      </c>
      <c r="AE840">
        <f t="shared" si="66"/>
        <v>0</v>
      </c>
      <c r="CG840" t="s">
        <v>53</v>
      </c>
      <c r="CH840" t="s">
        <v>142</v>
      </c>
      <c r="CI840">
        <v>81788</v>
      </c>
      <c r="CJ840" t="s">
        <v>505</v>
      </c>
    </row>
    <row r="841" spans="1:88" x14ac:dyDescent="0.25">
      <c r="A841" t="s">
        <v>8</v>
      </c>
      <c r="B841" t="s">
        <v>38</v>
      </c>
      <c r="C841" t="s">
        <v>417</v>
      </c>
      <c r="D841">
        <v>55199</v>
      </c>
      <c r="E841">
        <v>7</v>
      </c>
      <c r="F841" s="24" t="str">
        <f t="shared" si="67"/>
        <v>2024-6</v>
      </c>
      <c r="AA841">
        <v>55199</v>
      </c>
      <c r="AB841" t="s">
        <v>38</v>
      </c>
      <c r="AD841">
        <f t="shared" si="65"/>
        <v>0</v>
      </c>
      <c r="AE841">
        <f t="shared" si="66"/>
        <v>0</v>
      </c>
      <c r="CG841" t="s">
        <v>8</v>
      </c>
      <c r="CH841" t="s">
        <v>38</v>
      </c>
      <c r="CI841">
        <v>55199</v>
      </c>
      <c r="CJ841" t="s">
        <v>505</v>
      </c>
    </row>
    <row r="842" spans="1:88" x14ac:dyDescent="0.25">
      <c r="A842" t="s">
        <v>21</v>
      </c>
      <c r="B842" t="s">
        <v>149</v>
      </c>
      <c r="C842" t="s">
        <v>417</v>
      </c>
      <c r="D842">
        <v>94381</v>
      </c>
      <c r="E842">
        <v>6</v>
      </c>
      <c r="F842" s="24" t="str">
        <f t="shared" si="67"/>
        <v>2024-6</v>
      </c>
      <c r="AA842">
        <v>94381</v>
      </c>
      <c r="AB842" t="s">
        <v>149</v>
      </c>
      <c r="AD842">
        <f t="shared" si="65"/>
        <v>0</v>
      </c>
      <c r="AE842">
        <f t="shared" si="66"/>
        <v>0</v>
      </c>
      <c r="CG842" t="s">
        <v>21</v>
      </c>
      <c r="CH842" t="s">
        <v>149</v>
      </c>
      <c r="CI842">
        <v>94381</v>
      </c>
      <c r="CJ842" t="s">
        <v>505</v>
      </c>
    </row>
    <row r="843" spans="1:88" x14ac:dyDescent="0.25">
      <c r="A843" t="s">
        <v>53</v>
      </c>
      <c r="B843" t="s">
        <v>253</v>
      </c>
      <c r="C843" t="s">
        <v>419</v>
      </c>
      <c r="D843">
        <v>88843</v>
      </c>
      <c r="E843">
        <v>7</v>
      </c>
      <c r="F843" s="24" t="str">
        <f t="shared" si="67"/>
        <v>2024-7</v>
      </c>
      <c r="AA843">
        <v>88843</v>
      </c>
      <c r="AB843" t="s">
        <v>253</v>
      </c>
      <c r="AD843">
        <f t="shared" si="65"/>
        <v>0</v>
      </c>
      <c r="AE843">
        <f t="shared" si="66"/>
        <v>0</v>
      </c>
      <c r="CG843" t="s">
        <v>53</v>
      </c>
      <c r="CH843" t="s">
        <v>253</v>
      </c>
      <c r="CI843">
        <v>88843</v>
      </c>
      <c r="CJ843" t="s">
        <v>506</v>
      </c>
    </row>
    <row r="844" spans="1:88" x14ac:dyDescent="0.25">
      <c r="A844" t="s">
        <v>35</v>
      </c>
      <c r="B844" t="s">
        <v>418</v>
      </c>
      <c r="C844" t="s">
        <v>419</v>
      </c>
      <c r="D844">
        <v>40116</v>
      </c>
      <c r="E844">
        <v>7</v>
      </c>
      <c r="F844" s="24" t="str">
        <f t="shared" si="67"/>
        <v>2024-7</v>
      </c>
      <c r="AA844">
        <v>40116</v>
      </c>
      <c r="AB844" t="s">
        <v>418</v>
      </c>
      <c r="AD844">
        <f t="shared" si="65"/>
        <v>0</v>
      </c>
      <c r="AE844">
        <f t="shared" si="66"/>
        <v>0</v>
      </c>
      <c r="CG844" t="s">
        <v>35</v>
      </c>
      <c r="CH844" t="s">
        <v>418</v>
      </c>
      <c r="CI844">
        <v>40116</v>
      </c>
      <c r="CJ844" t="s">
        <v>506</v>
      </c>
    </row>
    <row r="845" spans="1:88" x14ac:dyDescent="0.25">
      <c r="A845" t="s">
        <v>21</v>
      </c>
      <c r="B845" t="s">
        <v>108</v>
      </c>
      <c r="C845" t="s">
        <v>419</v>
      </c>
      <c r="D845">
        <v>29426</v>
      </c>
      <c r="E845">
        <v>9</v>
      </c>
      <c r="F845" s="24" t="str">
        <f t="shared" si="67"/>
        <v>2024-7</v>
      </c>
      <c r="AA845">
        <v>29426</v>
      </c>
      <c r="AB845" t="s">
        <v>108</v>
      </c>
      <c r="AD845">
        <f t="shared" si="65"/>
        <v>0</v>
      </c>
      <c r="AE845">
        <f t="shared" si="66"/>
        <v>0</v>
      </c>
      <c r="CG845" t="s">
        <v>21</v>
      </c>
      <c r="CH845" t="s">
        <v>108</v>
      </c>
      <c r="CI845">
        <v>29426</v>
      </c>
      <c r="CJ845" t="s">
        <v>506</v>
      </c>
    </row>
    <row r="846" spans="1:88" x14ac:dyDescent="0.25">
      <c r="A846" t="s">
        <v>21</v>
      </c>
      <c r="B846" t="s">
        <v>101</v>
      </c>
      <c r="C846" t="s">
        <v>419</v>
      </c>
      <c r="D846">
        <v>79910</v>
      </c>
      <c r="E846">
        <v>8</v>
      </c>
      <c r="F846" s="24" t="str">
        <f t="shared" si="67"/>
        <v>2024-7</v>
      </c>
      <c r="AA846">
        <v>79910</v>
      </c>
      <c r="AB846" t="s">
        <v>101</v>
      </c>
      <c r="AD846">
        <f t="shared" si="65"/>
        <v>0</v>
      </c>
      <c r="AE846">
        <f t="shared" si="66"/>
        <v>0</v>
      </c>
      <c r="CG846" t="s">
        <v>21</v>
      </c>
      <c r="CH846" t="s">
        <v>101</v>
      </c>
      <c r="CI846">
        <v>79910</v>
      </c>
      <c r="CJ846" t="s">
        <v>506</v>
      </c>
    </row>
    <row r="847" spans="1:88" x14ac:dyDescent="0.25">
      <c r="A847" t="s">
        <v>55</v>
      </c>
      <c r="B847" t="s">
        <v>200</v>
      </c>
      <c r="C847" t="s">
        <v>419</v>
      </c>
      <c r="D847">
        <v>94314</v>
      </c>
      <c r="E847">
        <v>7</v>
      </c>
      <c r="F847" s="24" t="str">
        <f t="shared" si="67"/>
        <v>2024-7</v>
      </c>
      <c r="AA847">
        <v>94314</v>
      </c>
      <c r="AB847" t="s">
        <v>200</v>
      </c>
      <c r="AD847">
        <f t="shared" si="65"/>
        <v>0</v>
      </c>
      <c r="AE847">
        <f t="shared" si="66"/>
        <v>0</v>
      </c>
      <c r="CG847" t="s">
        <v>55</v>
      </c>
      <c r="CH847" t="s">
        <v>200</v>
      </c>
      <c r="CI847">
        <v>94314</v>
      </c>
      <c r="CJ847" t="s">
        <v>506</v>
      </c>
    </row>
    <row r="848" spans="1:88" x14ac:dyDescent="0.25">
      <c r="A848" t="s">
        <v>16</v>
      </c>
      <c r="B848" t="s">
        <v>176</v>
      </c>
      <c r="C848" t="s">
        <v>419</v>
      </c>
      <c r="D848">
        <v>94846</v>
      </c>
      <c r="E848">
        <v>7</v>
      </c>
      <c r="F848" s="24" t="str">
        <f t="shared" si="67"/>
        <v>2024-7</v>
      </c>
      <c r="AA848">
        <v>94846</v>
      </c>
      <c r="AB848" t="s">
        <v>176</v>
      </c>
      <c r="AD848">
        <f t="shared" si="65"/>
        <v>0</v>
      </c>
      <c r="AE848">
        <f t="shared" si="66"/>
        <v>0</v>
      </c>
      <c r="CG848" t="s">
        <v>16</v>
      </c>
      <c r="CH848" t="s">
        <v>176</v>
      </c>
      <c r="CI848">
        <v>94846</v>
      </c>
      <c r="CJ848" t="s">
        <v>506</v>
      </c>
    </row>
    <row r="849" spans="1:88" x14ac:dyDescent="0.25">
      <c r="A849" t="s">
        <v>16</v>
      </c>
      <c r="B849" t="s">
        <v>105</v>
      </c>
      <c r="C849" t="s">
        <v>419</v>
      </c>
      <c r="D849">
        <v>42520</v>
      </c>
      <c r="E849">
        <v>0</v>
      </c>
      <c r="F849" s="24" t="str">
        <f t="shared" si="67"/>
        <v>2024-7</v>
      </c>
      <c r="AA849">
        <v>42520</v>
      </c>
      <c r="AB849" t="s">
        <v>105</v>
      </c>
      <c r="AD849">
        <f t="shared" si="65"/>
        <v>0</v>
      </c>
      <c r="AE849">
        <f t="shared" si="66"/>
        <v>0</v>
      </c>
      <c r="CG849" t="s">
        <v>16</v>
      </c>
      <c r="CH849" t="s">
        <v>105</v>
      </c>
      <c r="CI849">
        <v>42520</v>
      </c>
      <c r="CJ849" t="s">
        <v>506</v>
      </c>
    </row>
    <row r="850" spans="1:88" x14ac:dyDescent="0.25">
      <c r="A850" t="s">
        <v>21</v>
      </c>
      <c r="B850" t="s">
        <v>95</v>
      </c>
      <c r="C850" t="s">
        <v>419</v>
      </c>
      <c r="D850">
        <v>43811</v>
      </c>
      <c r="E850">
        <v>4</v>
      </c>
      <c r="F850" s="24" t="str">
        <f t="shared" si="67"/>
        <v>2024-7</v>
      </c>
      <c r="AA850">
        <v>43811</v>
      </c>
      <c r="AB850" t="s">
        <v>95</v>
      </c>
      <c r="AD850">
        <f t="shared" si="65"/>
        <v>0</v>
      </c>
      <c r="AE850">
        <f t="shared" si="66"/>
        <v>0</v>
      </c>
      <c r="CG850" t="s">
        <v>21</v>
      </c>
      <c r="CH850" t="s">
        <v>95</v>
      </c>
      <c r="CI850">
        <v>43811</v>
      </c>
      <c r="CJ850" t="s">
        <v>506</v>
      </c>
    </row>
    <row r="851" spans="1:88" x14ac:dyDescent="0.25">
      <c r="A851" t="s">
        <v>5</v>
      </c>
      <c r="B851" t="s">
        <v>164</v>
      </c>
      <c r="C851" t="s">
        <v>419</v>
      </c>
      <c r="D851">
        <v>55840</v>
      </c>
      <c r="E851">
        <v>10</v>
      </c>
      <c r="F851" s="24" t="str">
        <f t="shared" si="67"/>
        <v>2024-7</v>
      </c>
      <c r="AA851">
        <v>55840</v>
      </c>
      <c r="AB851" t="s">
        <v>164</v>
      </c>
      <c r="AD851">
        <f t="shared" si="65"/>
        <v>0</v>
      </c>
      <c r="AE851">
        <f t="shared" si="66"/>
        <v>0</v>
      </c>
      <c r="CG851" t="s">
        <v>5</v>
      </c>
      <c r="CH851" t="s">
        <v>164</v>
      </c>
      <c r="CI851">
        <v>55840</v>
      </c>
      <c r="CJ851" t="s">
        <v>506</v>
      </c>
    </row>
    <row r="852" spans="1:88" x14ac:dyDescent="0.25">
      <c r="A852" t="s">
        <v>55</v>
      </c>
      <c r="B852" t="s">
        <v>39</v>
      </c>
      <c r="C852" t="s">
        <v>420</v>
      </c>
      <c r="D852">
        <v>74213</v>
      </c>
      <c r="E852">
        <v>7</v>
      </c>
      <c r="F852" s="24" t="str">
        <f t="shared" si="67"/>
        <v>2024-7</v>
      </c>
      <c r="AA852">
        <v>74213</v>
      </c>
      <c r="AB852" t="s">
        <v>39</v>
      </c>
      <c r="AD852">
        <f t="shared" si="65"/>
        <v>0</v>
      </c>
      <c r="AE852">
        <f t="shared" si="66"/>
        <v>0</v>
      </c>
      <c r="CG852" t="s">
        <v>55</v>
      </c>
      <c r="CH852" t="s">
        <v>39</v>
      </c>
      <c r="CI852">
        <v>74213</v>
      </c>
      <c r="CJ852" t="s">
        <v>506</v>
      </c>
    </row>
    <row r="853" spans="1:88" x14ac:dyDescent="0.25">
      <c r="A853" t="s">
        <v>35</v>
      </c>
      <c r="B853" t="s">
        <v>220</v>
      </c>
      <c r="C853" t="s">
        <v>420</v>
      </c>
      <c r="D853">
        <v>85986</v>
      </c>
      <c r="E853">
        <v>3</v>
      </c>
      <c r="F853" s="24" t="str">
        <f t="shared" si="67"/>
        <v>2024-7</v>
      </c>
      <c r="AA853">
        <v>85986</v>
      </c>
      <c r="AB853" t="s">
        <v>220</v>
      </c>
      <c r="AD853">
        <f t="shared" si="65"/>
        <v>0</v>
      </c>
      <c r="AE853">
        <f t="shared" si="66"/>
        <v>0</v>
      </c>
      <c r="CG853" t="s">
        <v>35</v>
      </c>
      <c r="CH853" t="s">
        <v>220</v>
      </c>
      <c r="CI853">
        <v>85986</v>
      </c>
      <c r="CJ853" t="s">
        <v>506</v>
      </c>
    </row>
    <row r="854" spans="1:88" x14ac:dyDescent="0.25">
      <c r="A854" t="s">
        <v>75</v>
      </c>
      <c r="B854" t="s">
        <v>24</v>
      </c>
      <c r="C854" t="s">
        <v>420</v>
      </c>
      <c r="D854">
        <v>67143</v>
      </c>
      <c r="E854">
        <v>6</v>
      </c>
      <c r="F854" s="24" t="str">
        <f t="shared" si="67"/>
        <v>2024-7</v>
      </c>
      <c r="AA854">
        <v>67143</v>
      </c>
      <c r="AB854" t="s">
        <v>24</v>
      </c>
      <c r="AD854">
        <f t="shared" si="65"/>
        <v>0</v>
      </c>
      <c r="AE854">
        <f t="shared" si="66"/>
        <v>0</v>
      </c>
      <c r="CG854" t="s">
        <v>75</v>
      </c>
      <c r="CH854" t="s">
        <v>24</v>
      </c>
      <c r="CI854">
        <v>67143</v>
      </c>
      <c r="CJ854" t="s">
        <v>506</v>
      </c>
    </row>
    <row r="855" spans="1:88" x14ac:dyDescent="0.25">
      <c r="A855" t="s">
        <v>55</v>
      </c>
      <c r="B855" t="s">
        <v>196</v>
      </c>
      <c r="C855" t="s">
        <v>421</v>
      </c>
      <c r="D855">
        <v>45252</v>
      </c>
      <c r="E855">
        <v>6</v>
      </c>
      <c r="F855" s="24" t="str">
        <f t="shared" si="67"/>
        <v>2024-7</v>
      </c>
      <c r="AA855">
        <v>45252</v>
      </c>
      <c r="AB855" t="s">
        <v>196</v>
      </c>
      <c r="AD855">
        <f t="shared" si="65"/>
        <v>0</v>
      </c>
      <c r="AE855">
        <f t="shared" si="66"/>
        <v>0</v>
      </c>
      <c r="CG855" t="s">
        <v>55</v>
      </c>
      <c r="CH855" t="s">
        <v>196</v>
      </c>
      <c r="CI855">
        <v>45252</v>
      </c>
      <c r="CJ855" t="s">
        <v>506</v>
      </c>
    </row>
    <row r="856" spans="1:88" x14ac:dyDescent="0.25">
      <c r="A856" t="s">
        <v>16</v>
      </c>
      <c r="B856" t="s">
        <v>70</v>
      </c>
      <c r="C856" t="s">
        <v>421</v>
      </c>
      <c r="D856">
        <v>37739</v>
      </c>
      <c r="E856">
        <v>9</v>
      </c>
      <c r="F856" s="24" t="str">
        <f t="shared" si="67"/>
        <v>2024-7</v>
      </c>
      <c r="AA856">
        <v>37739</v>
      </c>
      <c r="AB856" t="s">
        <v>70</v>
      </c>
      <c r="AD856">
        <f t="shared" si="65"/>
        <v>0</v>
      </c>
      <c r="AE856">
        <f t="shared" si="66"/>
        <v>0</v>
      </c>
      <c r="CG856" t="s">
        <v>16</v>
      </c>
      <c r="CH856" t="s">
        <v>70</v>
      </c>
      <c r="CI856">
        <v>37739</v>
      </c>
      <c r="CJ856" t="s">
        <v>506</v>
      </c>
    </row>
    <row r="857" spans="1:88" x14ac:dyDescent="0.25">
      <c r="A857" t="s">
        <v>75</v>
      </c>
      <c r="B857" t="s">
        <v>147</v>
      </c>
      <c r="C857" t="s">
        <v>421</v>
      </c>
      <c r="D857">
        <v>34033</v>
      </c>
      <c r="E857">
        <v>10</v>
      </c>
      <c r="F857" s="24" t="str">
        <f t="shared" si="67"/>
        <v>2024-7</v>
      </c>
      <c r="AA857">
        <v>34033</v>
      </c>
      <c r="AB857" t="s">
        <v>147</v>
      </c>
      <c r="AD857">
        <f t="shared" si="65"/>
        <v>0</v>
      </c>
      <c r="AE857">
        <f t="shared" si="66"/>
        <v>0</v>
      </c>
      <c r="CG857" t="s">
        <v>75</v>
      </c>
      <c r="CH857" t="s">
        <v>147</v>
      </c>
      <c r="CI857">
        <v>34033</v>
      </c>
      <c r="CJ857" t="s">
        <v>506</v>
      </c>
    </row>
    <row r="858" spans="1:88" x14ac:dyDescent="0.25">
      <c r="A858" t="s">
        <v>21</v>
      </c>
      <c r="B858" t="s">
        <v>22</v>
      </c>
      <c r="C858" t="s">
        <v>422</v>
      </c>
      <c r="D858">
        <v>28707</v>
      </c>
      <c r="E858">
        <v>7</v>
      </c>
      <c r="F858" s="24" t="str">
        <f t="shared" si="67"/>
        <v>2024-7</v>
      </c>
      <c r="AA858">
        <v>28707</v>
      </c>
      <c r="AB858" t="s">
        <v>22</v>
      </c>
      <c r="AD858">
        <f t="shared" si="65"/>
        <v>0</v>
      </c>
      <c r="AE858">
        <f t="shared" si="66"/>
        <v>0</v>
      </c>
      <c r="CG858" t="s">
        <v>21</v>
      </c>
      <c r="CH858" t="s">
        <v>22</v>
      </c>
      <c r="CI858">
        <v>28707</v>
      </c>
      <c r="CJ858" t="s">
        <v>506</v>
      </c>
    </row>
    <row r="859" spans="1:88" x14ac:dyDescent="0.25">
      <c r="A859" t="s">
        <v>16</v>
      </c>
      <c r="B859" t="s">
        <v>98</v>
      </c>
      <c r="C859" t="s">
        <v>422</v>
      </c>
      <c r="D859">
        <v>43805</v>
      </c>
      <c r="E859">
        <v>4</v>
      </c>
      <c r="F859" s="24" t="str">
        <f t="shared" si="67"/>
        <v>2024-7</v>
      </c>
      <c r="AA859">
        <v>43805</v>
      </c>
      <c r="AB859" t="s">
        <v>98</v>
      </c>
      <c r="AD859">
        <f t="shared" si="65"/>
        <v>0</v>
      </c>
      <c r="AE859">
        <f t="shared" si="66"/>
        <v>0</v>
      </c>
      <c r="CG859" t="s">
        <v>16</v>
      </c>
      <c r="CH859" t="s">
        <v>98</v>
      </c>
      <c r="CI859">
        <v>43805</v>
      </c>
      <c r="CJ859" t="s">
        <v>506</v>
      </c>
    </row>
    <row r="860" spans="1:88" x14ac:dyDescent="0.25">
      <c r="A860" t="s">
        <v>10</v>
      </c>
      <c r="B860" t="s">
        <v>70</v>
      </c>
      <c r="C860" t="s">
        <v>422</v>
      </c>
      <c r="D860">
        <v>47914</v>
      </c>
      <c r="E860">
        <v>0</v>
      </c>
      <c r="F860" s="24" t="str">
        <f t="shared" si="67"/>
        <v>2024-7</v>
      </c>
      <c r="AA860">
        <v>47914</v>
      </c>
      <c r="AB860" t="s">
        <v>70</v>
      </c>
      <c r="AD860">
        <f t="shared" si="65"/>
        <v>0</v>
      </c>
      <c r="AE860">
        <f t="shared" si="66"/>
        <v>0</v>
      </c>
      <c r="CG860" t="s">
        <v>10</v>
      </c>
      <c r="CH860" t="s">
        <v>70</v>
      </c>
      <c r="CI860">
        <v>47914</v>
      </c>
      <c r="CJ860" t="s">
        <v>506</v>
      </c>
    </row>
    <row r="861" spans="1:88" x14ac:dyDescent="0.25">
      <c r="A861" t="s">
        <v>8</v>
      </c>
      <c r="B861" t="s">
        <v>321</v>
      </c>
      <c r="C861" t="s">
        <v>422</v>
      </c>
      <c r="D861">
        <v>50093</v>
      </c>
      <c r="E861">
        <v>7</v>
      </c>
      <c r="F861" s="24" t="str">
        <f t="shared" si="67"/>
        <v>2024-7</v>
      </c>
      <c r="AA861">
        <v>50093</v>
      </c>
      <c r="AB861" t="s">
        <v>321</v>
      </c>
      <c r="AD861">
        <f t="shared" si="65"/>
        <v>0</v>
      </c>
      <c r="AE861">
        <f t="shared" si="66"/>
        <v>0</v>
      </c>
      <c r="CG861" t="s">
        <v>8</v>
      </c>
      <c r="CH861" t="s">
        <v>321</v>
      </c>
      <c r="CI861">
        <v>50093</v>
      </c>
      <c r="CJ861" t="s">
        <v>506</v>
      </c>
    </row>
    <row r="862" spans="1:88" x14ac:dyDescent="0.25">
      <c r="A862" t="s">
        <v>29</v>
      </c>
      <c r="B862" t="s">
        <v>15</v>
      </c>
      <c r="C862" t="s">
        <v>422</v>
      </c>
      <c r="D862">
        <v>76577</v>
      </c>
      <c r="E862">
        <v>7</v>
      </c>
      <c r="F862" s="24" t="str">
        <f t="shared" si="67"/>
        <v>2024-7</v>
      </c>
      <c r="AA862">
        <v>76577</v>
      </c>
      <c r="AB862" t="s">
        <v>15</v>
      </c>
      <c r="AD862">
        <f t="shared" si="65"/>
        <v>0</v>
      </c>
      <c r="AE862">
        <f t="shared" si="66"/>
        <v>0</v>
      </c>
      <c r="CG862" t="s">
        <v>29</v>
      </c>
      <c r="CH862" t="s">
        <v>15</v>
      </c>
      <c r="CI862">
        <v>76577</v>
      </c>
      <c r="CJ862" t="s">
        <v>506</v>
      </c>
    </row>
    <row r="863" spans="1:88" x14ac:dyDescent="0.25">
      <c r="A863" t="s">
        <v>16</v>
      </c>
      <c r="B863" t="s">
        <v>308</v>
      </c>
      <c r="C863" t="s">
        <v>423</v>
      </c>
      <c r="D863">
        <v>60430</v>
      </c>
      <c r="E863">
        <v>8</v>
      </c>
      <c r="F863" s="24" t="str">
        <f t="shared" si="67"/>
        <v>2024-7</v>
      </c>
      <c r="AA863">
        <v>60430</v>
      </c>
      <c r="AB863" t="s">
        <v>308</v>
      </c>
      <c r="AD863">
        <f t="shared" si="65"/>
        <v>0</v>
      </c>
      <c r="AE863">
        <f t="shared" si="66"/>
        <v>0</v>
      </c>
      <c r="CG863" t="s">
        <v>16</v>
      </c>
      <c r="CH863" t="s">
        <v>308</v>
      </c>
      <c r="CI863">
        <v>60430</v>
      </c>
      <c r="CJ863" t="s">
        <v>506</v>
      </c>
    </row>
    <row r="864" spans="1:88" x14ac:dyDescent="0.25">
      <c r="A864" t="s">
        <v>29</v>
      </c>
      <c r="B864" t="s">
        <v>91</v>
      </c>
      <c r="C864" t="s">
        <v>423</v>
      </c>
      <c r="D864">
        <v>83237</v>
      </c>
      <c r="E864">
        <v>3</v>
      </c>
      <c r="F864" s="24" t="str">
        <f t="shared" si="67"/>
        <v>2024-7</v>
      </c>
      <c r="AA864">
        <v>83237</v>
      </c>
      <c r="AB864" t="s">
        <v>91</v>
      </c>
      <c r="AD864">
        <f t="shared" si="65"/>
        <v>0</v>
      </c>
      <c r="AE864">
        <f t="shared" si="66"/>
        <v>0</v>
      </c>
      <c r="CG864" t="s">
        <v>29</v>
      </c>
      <c r="CH864" t="s">
        <v>91</v>
      </c>
      <c r="CI864">
        <v>83237</v>
      </c>
      <c r="CJ864" t="s">
        <v>506</v>
      </c>
    </row>
    <row r="865" spans="1:88" x14ac:dyDescent="0.25">
      <c r="A865" t="s">
        <v>75</v>
      </c>
      <c r="B865" t="s">
        <v>58</v>
      </c>
      <c r="C865" t="s">
        <v>423</v>
      </c>
      <c r="D865">
        <v>43591</v>
      </c>
      <c r="E865">
        <v>5</v>
      </c>
      <c r="F865" s="24" t="str">
        <f t="shared" si="67"/>
        <v>2024-7</v>
      </c>
      <c r="AA865">
        <v>43591</v>
      </c>
      <c r="AB865" t="s">
        <v>58</v>
      </c>
      <c r="AD865">
        <f t="shared" si="65"/>
        <v>0</v>
      </c>
      <c r="AE865">
        <f t="shared" si="66"/>
        <v>0</v>
      </c>
      <c r="CG865" t="s">
        <v>75</v>
      </c>
      <c r="CH865" t="s">
        <v>58</v>
      </c>
      <c r="CI865">
        <v>43591</v>
      </c>
      <c r="CJ865" t="s">
        <v>506</v>
      </c>
    </row>
    <row r="866" spans="1:88" x14ac:dyDescent="0.25">
      <c r="A866" t="s">
        <v>16</v>
      </c>
      <c r="B866" t="s">
        <v>113</v>
      </c>
      <c r="C866" t="s">
        <v>423</v>
      </c>
      <c r="D866">
        <v>27997</v>
      </c>
      <c r="E866">
        <v>5</v>
      </c>
      <c r="F866" s="24" t="str">
        <f t="shared" si="67"/>
        <v>2024-7</v>
      </c>
      <c r="AA866">
        <v>27997</v>
      </c>
      <c r="AB866" t="s">
        <v>113</v>
      </c>
      <c r="AD866">
        <f t="shared" si="65"/>
        <v>0</v>
      </c>
      <c r="AE866">
        <f t="shared" si="66"/>
        <v>0</v>
      </c>
      <c r="CG866" t="s">
        <v>16</v>
      </c>
      <c r="CH866" t="s">
        <v>113</v>
      </c>
      <c r="CI866">
        <v>27997</v>
      </c>
      <c r="CJ866" t="s">
        <v>506</v>
      </c>
    </row>
    <row r="867" spans="1:88" x14ac:dyDescent="0.25">
      <c r="A867" t="s">
        <v>14</v>
      </c>
      <c r="B867" t="s">
        <v>31</v>
      </c>
      <c r="C867" t="s">
        <v>424</v>
      </c>
      <c r="D867">
        <v>38569</v>
      </c>
      <c r="E867">
        <v>4</v>
      </c>
      <c r="F867" s="24" t="str">
        <f t="shared" si="67"/>
        <v>2024-7</v>
      </c>
      <c r="AA867">
        <v>38569</v>
      </c>
      <c r="AB867" t="s">
        <v>31</v>
      </c>
      <c r="AD867">
        <f t="shared" si="65"/>
        <v>0</v>
      </c>
      <c r="AE867">
        <f t="shared" si="66"/>
        <v>0</v>
      </c>
      <c r="CG867" t="s">
        <v>14</v>
      </c>
      <c r="CH867" t="s">
        <v>31</v>
      </c>
      <c r="CI867">
        <v>38569</v>
      </c>
      <c r="CJ867" t="s">
        <v>506</v>
      </c>
    </row>
    <row r="868" spans="1:88" x14ac:dyDescent="0.25">
      <c r="A868" t="s">
        <v>21</v>
      </c>
      <c r="B868" t="s">
        <v>50</v>
      </c>
      <c r="C868" t="s">
        <v>424</v>
      </c>
      <c r="D868">
        <v>56275</v>
      </c>
      <c r="E868">
        <v>0</v>
      </c>
      <c r="F868" s="24" t="str">
        <f t="shared" si="67"/>
        <v>2024-7</v>
      </c>
      <c r="AA868">
        <v>56275</v>
      </c>
      <c r="AB868" t="s">
        <v>50</v>
      </c>
      <c r="AD868">
        <f t="shared" si="65"/>
        <v>0</v>
      </c>
      <c r="AE868">
        <f t="shared" si="66"/>
        <v>0</v>
      </c>
      <c r="CG868" t="s">
        <v>21</v>
      </c>
      <c r="CH868" t="s">
        <v>50</v>
      </c>
      <c r="CI868">
        <v>56275</v>
      </c>
      <c r="CJ868" t="s">
        <v>506</v>
      </c>
    </row>
    <row r="869" spans="1:88" x14ac:dyDescent="0.25">
      <c r="A869" t="s">
        <v>16</v>
      </c>
      <c r="B869" t="s">
        <v>176</v>
      </c>
      <c r="C869" t="s">
        <v>424</v>
      </c>
      <c r="D869">
        <v>66038</v>
      </c>
      <c r="E869">
        <v>8</v>
      </c>
      <c r="F869" s="24" t="str">
        <f t="shared" si="67"/>
        <v>2024-7</v>
      </c>
      <c r="AA869">
        <v>66038</v>
      </c>
      <c r="AB869" t="s">
        <v>176</v>
      </c>
      <c r="AD869">
        <f t="shared" si="65"/>
        <v>0</v>
      </c>
      <c r="AE869">
        <f t="shared" si="66"/>
        <v>0</v>
      </c>
      <c r="CG869" t="s">
        <v>16</v>
      </c>
      <c r="CH869" t="s">
        <v>176</v>
      </c>
      <c r="CI869">
        <v>66038</v>
      </c>
      <c r="CJ869" t="s">
        <v>506</v>
      </c>
    </row>
    <row r="870" spans="1:88" x14ac:dyDescent="0.25">
      <c r="A870" t="s">
        <v>35</v>
      </c>
      <c r="B870" t="s">
        <v>225</v>
      </c>
      <c r="C870" t="s">
        <v>424</v>
      </c>
      <c r="D870">
        <v>79771</v>
      </c>
      <c r="E870">
        <v>6</v>
      </c>
      <c r="F870" s="24" t="str">
        <f t="shared" si="67"/>
        <v>2024-7</v>
      </c>
      <c r="AA870">
        <v>79771</v>
      </c>
      <c r="AB870" t="s">
        <v>225</v>
      </c>
      <c r="AD870">
        <f t="shared" si="65"/>
        <v>0</v>
      </c>
      <c r="AE870">
        <f t="shared" si="66"/>
        <v>0</v>
      </c>
      <c r="CG870" t="s">
        <v>35</v>
      </c>
      <c r="CH870" t="s">
        <v>225</v>
      </c>
      <c r="CI870">
        <v>79771</v>
      </c>
      <c r="CJ870" t="s">
        <v>506</v>
      </c>
    </row>
    <row r="871" spans="1:88" x14ac:dyDescent="0.25">
      <c r="A871" t="s">
        <v>10</v>
      </c>
      <c r="B871" t="s">
        <v>306</v>
      </c>
      <c r="C871" t="s">
        <v>424</v>
      </c>
      <c r="D871">
        <v>30361</v>
      </c>
      <c r="E871">
        <v>8</v>
      </c>
      <c r="F871" s="24" t="str">
        <f t="shared" si="67"/>
        <v>2024-7</v>
      </c>
      <c r="AA871">
        <v>30361</v>
      </c>
      <c r="AB871" t="s">
        <v>306</v>
      </c>
      <c r="AD871">
        <f t="shared" si="65"/>
        <v>0</v>
      </c>
      <c r="AE871">
        <f t="shared" si="66"/>
        <v>0</v>
      </c>
      <c r="CG871" t="s">
        <v>10</v>
      </c>
      <c r="CH871" t="s">
        <v>306</v>
      </c>
      <c r="CI871">
        <v>30361</v>
      </c>
      <c r="CJ871" t="s">
        <v>506</v>
      </c>
    </row>
    <row r="872" spans="1:88" x14ac:dyDescent="0.25">
      <c r="A872" t="s">
        <v>14</v>
      </c>
      <c r="B872" t="s">
        <v>88</v>
      </c>
      <c r="C872" t="s">
        <v>424</v>
      </c>
      <c r="D872">
        <v>39858</v>
      </c>
      <c r="E872">
        <v>9</v>
      </c>
      <c r="F872" s="24" t="str">
        <f t="shared" si="67"/>
        <v>2024-7</v>
      </c>
      <c r="AA872">
        <v>39858</v>
      </c>
      <c r="AB872" t="s">
        <v>88</v>
      </c>
      <c r="AD872">
        <f t="shared" si="65"/>
        <v>0</v>
      </c>
      <c r="AE872">
        <f t="shared" si="66"/>
        <v>0</v>
      </c>
      <c r="CG872" t="s">
        <v>14</v>
      </c>
      <c r="CH872" t="s">
        <v>88</v>
      </c>
      <c r="CI872">
        <v>39858</v>
      </c>
      <c r="CJ872" t="s">
        <v>506</v>
      </c>
    </row>
    <row r="873" spans="1:88" x14ac:dyDescent="0.25">
      <c r="A873" t="s">
        <v>5</v>
      </c>
      <c r="B873" t="s">
        <v>194</v>
      </c>
      <c r="C873" t="s">
        <v>424</v>
      </c>
      <c r="D873">
        <v>37002</v>
      </c>
      <c r="E873">
        <v>4</v>
      </c>
      <c r="F873" s="24" t="str">
        <f t="shared" si="67"/>
        <v>2024-7</v>
      </c>
      <c r="AA873">
        <v>37002</v>
      </c>
      <c r="AB873" t="s">
        <v>194</v>
      </c>
      <c r="AD873">
        <f t="shared" si="65"/>
        <v>0</v>
      </c>
      <c r="AE873">
        <f t="shared" si="66"/>
        <v>0</v>
      </c>
      <c r="CG873" t="s">
        <v>5</v>
      </c>
      <c r="CH873" t="s">
        <v>194</v>
      </c>
      <c r="CI873">
        <v>37002</v>
      </c>
      <c r="CJ873" t="s">
        <v>506</v>
      </c>
    </row>
    <row r="874" spans="1:88" x14ac:dyDescent="0.25">
      <c r="A874" t="s">
        <v>37</v>
      </c>
      <c r="B874" t="s">
        <v>76</v>
      </c>
      <c r="C874" t="s">
        <v>425</v>
      </c>
      <c r="D874">
        <v>15249</v>
      </c>
      <c r="E874">
        <v>3</v>
      </c>
      <c r="F874" s="24" t="str">
        <f t="shared" si="67"/>
        <v>2024-7</v>
      </c>
      <c r="AA874">
        <v>15249</v>
      </c>
      <c r="AB874" t="s">
        <v>76</v>
      </c>
      <c r="AD874">
        <f t="shared" si="65"/>
        <v>0</v>
      </c>
      <c r="AE874">
        <f t="shared" si="66"/>
        <v>0</v>
      </c>
      <c r="CG874" t="s">
        <v>37</v>
      </c>
      <c r="CH874" t="s">
        <v>76</v>
      </c>
      <c r="CI874">
        <v>15249</v>
      </c>
      <c r="CJ874" t="s">
        <v>506</v>
      </c>
    </row>
    <row r="875" spans="1:88" x14ac:dyDescent="0.25">
      <c r="A875" t="s">
        <v>55</v>
      </c>
      <c r="B875" t="s">
        <v>36</v>
      </c>
      <c r="C875" t="s">
        <v>425</v>
      </c>
      <c r="D875">
        <v>34937</v>
      </c>
      <c r="E875">
        <v>7</v>
      </c>
      <c r="F875" s="24" t="str">
        <f t="shared" si="67"/>
        <v>2024-7</v>
      </c>
      <c r="AA875">
        <v>34937</v>
      </c>
      <c r="AB875" t="s">
        <v>36</v>
      </c>
      <c r="AD875">
        <f t="shared" si="65"/>
        <v>0</v>
      </c>
      <c r="AE875">
        <f t="shared" si="66"/>
        <v>0</v>
      </c>
      <c r="CG875" t="s">
        <v>55</v>
      </c>
      <c r="CH875" t="s">
        <v>36</v>
      </c>
      <c r="CI875">
        <v>34937</v>
      </c>
      <c r="CJ875" t="s">
        <v>506</v>
      </c>
    </row>
    <row r="876" spans="1:88" x14ac:dyDescent="0.25">
      <c r="A876" t="s">
        <v>21</v>
      </c>
      <c r="B876" t="s">
        <v>41</v>
      </c>
      <c r="C876" t="s">
        <v>426</v>
      </c>
      <c r="D876">
        <v>38170</v>
      </c>
      <c r="E876">
        <v>7</v>
      </c>
      <c r="F876" s="24" t="str">
        <f t="shared" si="67"/>
        <v>2024-7</v>
      </c>
      <c r="AA876">
        <v>38170</v>
      </c>
      <c r="AB876" t="s">
        <v>41</v>
      </c>
      <c r="AD876">
        <f t="shared" si="65"/>
        <v>0</v>
      </c>
      <c r="AE876">
        <f t="shared" si="66"/>
        <v>0</v>
      </c>
      <c r="CG876" t="s">
        <v>21</v>
      </c>
      <c r="CH876" t="s">
        <v>41</v>
      </c>
      <c r="CI876">
        <v>38170</v>
      </c>
      <c r="CJ876" t="s">
        <v>506</v>
      </c>
    </row>
    <row r="877" spans="1:88" x14ac:dyDescent="0.25">
      <c r="A877" t="s">
        <v>29</v>
      </c>
      <c r="B877" t="s">
        <v>314</v>
      </c>
      <c r="C877" t="s">
        <v>426</v>
      </c>
      <c r="D877">
        <v>49601</v>
      </c>
      <c r="E877">
        <v>7</v>
      </c>
      <c r="F877" s="24" t="str">
        <f t="shared" si="67"/>
        <v>2024-7</v>
      </c>
      <c r="AA877">
        <v>49601</v>
      </c>
      <c r="AB877" t="s">
        <v>314</v>
      </c>
      <c r="AD877">
        <f t="shared" si="65"/>
        <v>0</v>
      </c>
      <c r="AE877">
        <f t="shared" si="66"/>
        <v>0</v>
      </c>
      <c r="CG877" t="s">
        <v>29</v>
      </c>
      <c r="CH877" t="s">
        <v>314</v>
      </c>
      <c r="CI877">
        <v>49601</v>
      </c>
      <c r="CJ877" t="s">
        <v>506</v>
      </c>
    </row>
    <row r="878" spans="1:88" x14ac:dyDescent="0.25">
      <c r="A878" t="s">
        <v>55</v>
      </c>
      <c r="B878" t="s">
        <v>69</v>
      </c>
      <c r="C878" t="s">
        <v>426</v>
      </c>
      <c r="D878">
        <v>15558</v>
      </c>
      <c r="E878">
        <v>8</v>
      </c>
      <c r="F878" s="24" t="str">
        <f t="shared" si="67"/>
        <v>2024-7</v>
      </c>
      <c r="AA878">
        <v>15558</v>
      </c>
      <c r="AB878" t="s">
        <v>69</v>
      </c>
      <c r="AD878">
        <f t="shared" si="65"/>
        <v>0</v>
      </c>
      <c r="AE878">
        <f t="shared" si="66"/>
        <v>0</v>
      </c>
      <c r="CG878" t="s">
        <v>55</v>
      </c>
      <c r="CH878" t="s">
        <v>69</v>
      </c>
      <c r="CI878">
        <v>15558</v>
      </c>
      <c r="CJ878" t="s">
        <v>506</v>
      </c>
    </row>
    <row r="879" spans="1:88" x14ac:dyDescent="0.25">
      <c r="A879" t="s">
        <v>5</v>
      </c>
      <c r="B879" t="s">
        <v>156</v>
      </c>
      <c r="C879" t="s">
        <v>427</v>
      </c>
      <c r="D879">
        <v>10676</v>
      </c>
      <c r="E879">
        <v>7</v>
      </c>
      <c r="F879" s="24" t="str">
        <f t="shared" si="67"/>
        <v>2024-7</v>
      </c>
      <c r="AA879">
        <v>10676</v>
      </c>
      <c r="AB879" t="s">
        <v>156</v>
      </c>
      <c r="AD879">
        <f t="shared" si="65"/>
        <v>0</v>
      </c>
      <c r="AE879">
        <f t="shared" si="66"/>
        <v>0</v>
      </c>
      <c r="CG879" t="s">
        <v>5</v>
      </c>
      <c r="CH879" t="s">
        <v>156</v>
      </c>
      <c r="CI879">
        <v>10676</v>
      </c>
      <c r="CJ879" t="s">
        <v>506</v>
      </c>
    </row>
    <row r="880" spans="1:88" x14ac:dyDescent="0.25">
      <c r="A880" t="s">
        <v>37</v>
      </c>
      <c r="B880" t="s">
        <v>123</v>
      </c>
      <c r="C880" t="s">
        <v>428</v>
      </c>
      <c r="D880">
        <v>85583</v>
      </c>
      <c r="E880">
        <v>8</v>
      </c>
      <c r="F880" s="24" t="str">
        <f t="shared" si="67"/>
        <v>2024-7</v>
      </c>
      <c r="AA880">
        <v>85583</v>
      </c>
      <c r="AB880" t="s">
        <v>123</v>
      </c>
      <c r="AD880">
        <f t="shared" si="65"/>
        <v>0</v>
      </c>
      <c r="AE880">
        <f t="shared" si="66"/>
        <v>0</v>
      </c>
      <c r="CG880" t="s">
        <v>37</v>
      </c>
      <c r="CH880" t="s">
        <v>123</v>
      </c>
      <c r="CI880">
        <v>85583</v>
      </c>
      <c r="CJ880" t="s">
        <v>506</v>
      </c>
    </row>
    <row r="881" spans="1:88" x14ac:dyDescent="0.25">
      <c r="A881" t="s">
        <v>10</v>
      </c>
      <c r="B881" t="s">
        <v>393</v>
      </c>
      <c r="C881" t="s">
        <v>428</v>
      </c>
      <c r="D881">
        <v>35940</v>
      </c>
      <c r="E881">
        <v>9</v>
      </c>
      <c r="F881" s="24" t="str">
        <f t="shared" si="67"/>
        <v>2024-7</v>
      </c>
      <c r="AA881">
        <v>35940</v>
      </c>
      <c r="AB881" t="s">
        <v>393</v>
      </c>
      <c r="AD881">
        <f t="shared" si="65"/>
        <v>0</v>
      </c>
      <c r="AE881">
        <f t="shared" si="66"/>
        <v>0</v>
      </c>
      <c r="CG881" t="s">
        <v>10</v>
      </c>
      <c r="CH881" t="s">
        <v>393</v>
      </c>
      <c r="CI881">
        <v>35940</v>
      </c>
      <c r="CJ881" t="s">
        <v>506</v>
      </c>
    </row>
    <row r="882" spans="1:88" x14ac:dyDescent="0.25">
      <c r="A882" t="s">
        <v>21</v>
      </c>
      <c r="B882" t="s">
        <v>52</v>
      </c>
      <c r="C882" t="s">
        <v>428</v>
      </c>
      <c r="D882">
        <v>22174</v>
      </c>
      <c r="E882">
        <v>6</v>
      </c>
      <c r="F882" s="24" t="str">
        <f t="shared" si="67"/>
        <v>2024-7</v>
      </c>
      <c r="AA882">
        <v>22174</v>
      </c>
      <c r="AB882" t="s">
        <v>52</v>
      </c>
      <c r="AD882">
        <f t="shared" si="65"/>
        <v>0</v>
      </c>
      <c r="AE882">
        <f t="shared" si="66"/>
        <v>0</v>
      </c>
      <c r="CG882" t="s">
        <v>21</v>
      </c>
      <c r="CH882" t="s">
        <v>52</v>
      </c>
      <c r="CI882">
        <v>22174</v>
      </c>
      <c r="CJ882" t="s">
        <v>506</v>
      </c>
    </row>
    <row r="883" spans="1:88" x14ac:dyDescent="0.25">
      <c r="A883" t="s">
        <v>16</v>
      </c>
      <c r="B883" t="s">
        <v>70</v>
      </c>
      <c r="C883" t="s">
        <v>428</v>
      </c>
      <c r="D883">
        <v>46948</v>
      </c>
      <c r="E883">
        <v>7</v>
      </c>
      <c r="F883" s="24" t="str">
        <f t="shared" si="67"/>
        <v>2024-7</v>
      </c>
      <c r="AA883">
        <v>46948</v>
      </c>
      <c r="AB883" t="s">
        <v>70</v>
      </c>
      <c r="AD883">
        <f t="shared" si="65"/>
        <v>0</v>
      </c>
      <c r="AE883">
        <f t="shared" si="66"/>
        <v>0</v>
      </c>
      <c r="CG883" t="s">
        <v>16</v>
      </c>
      <c r="CH883" t="s">
        <v>70</v>
      </c>
      <c r="CI883">
        <v>46948</v>
      </c>
      <c r="CJ883" t="s">
        <v>506</v>
      </c>
    </row>
    <row r="884" spans="1:88" x14ac:dyDescent="0.25">
      <c r="A884" t="s">
        <v>35</v>
      </c>
      <c r="B884" t="s">
        <v>159</v>
      </c>
      <c r="C884" t="s">
        <v>428</v>
      </c>
      <c r="D884">
        <v>23570</v>
      </c>
      <c r="E884">
        <v>3</v>
      </c>
      <c r="F884" s="24" t="str">
        <f t="shared" si="67"/>
        <v>2024-7</v>
      </c>
      <c r="AA884">
        <v>23570</v>
      </c>
      <c r="AB884" t="s">
        <v>159</v>
      </c>
      <c r="AD884">
        <f t="shared" si="65"/>
        <v>0</v>
      </c>
      <c r="AE884">
        <f t="shared" si="66"/>
        <v>0</v>
      </c>
      <c r="CG884" t="s">
        <v>35</v>
      </c>
      <c r="CH884" t="s">
        <v>159</v>
      </c>
      <c r="CI884">
        <v>23570</v>
      </c>
      <c r="CJ884" t="s">
        <v>506</v>
      </c>
    </row>
    <row r="885" spans="1:88" x14ac:dyDescent="0.25">
      <c r="A885" t="s">
        <v>29</v>
      </c>
      <c r="B885" t="s">
        <v>151</v>
      </c>
      <c r="C885" t="s">
        <v>428</v>
      </c>
      <c r="D885">
        <v>61298</v>
      </c>
      <c r="E885">
        <v>4</v>
      </c>
      <c r="F885" s="24" t="str">
        <f t="shared" si="67"/>
        <v>2024-7</v>
      </c>
      <c r="AA885">
        <v>61298</v>
      </c>
      <c r="AB885" t="s">
        <v>151</v>
      </c>
      <c r="AD885">
        <f t="shared" si="65"/>
        <v>0</v>
      </c>
      <c r="AE885">
        <f t="shared" si="66"/>
        <v>0</v>
      </c>
      <c r="CG885" t="s">
        <v>29</v>
      </c>
      <c r="CH885" t="s">
        <v>151</v>
      </c>
      <c r="CI885">
        <v>61298</v>
      </c>
      <c r="CJ885" t="s">
        <v>506</v>
      </c>
    </row>
    <row r="886" spans="1:88" x14ac:dyDescent="0.25">
      <c r="A886" t="s">
        <v>37</v>
      </c>
      <c r="B886" t="s">
        <v>62</v>
      </c>
      <c r="C886" t="s">
        <v>428</v>
      </c>
      <c r="D886">
        <v>43716</v>
      </c>
      <c r="E886">
        <v>4</v>
      </c>
      <c r="F886" s="24" t="str">
        <f t="shared" si="67"/>
        <v>2024-7</v>
      </c>
      <c r="AA886">
        <v>43716</v>
      </c>
      <c r="AB886" t="s">
        <v>62</v>
      </c>
      <c r="AD886">
        <f t="shared" si="65"/>
        <v>0</v>
      </c>
      <c r="AE886">
        <f t="shared" si="66"/>
        <v>0</v>
      </c>
      <c r="CG886" t="s">
        <v>37</v>
      </c>
      <c r="CH886" t="s">
        <v>62</v>
      </c>
      <c r="CI886">
        <v>43716</v>
      </c>
      <c r="CJ886" t="s">
        <v>506</v>
      </c>
    </row>
    <row r="887" spans="1:88" x14ac:dyDescent="0.25">
      <c r="A887" t="s">
        <v>53</v>
      </c>
      <c r="B887" t="s">
        <v>393</v>
      </c>
      <c r="C887" t="s">
        <v>428</v>
      </c>
      <c r="D887">
        <v>45111</v>
      </c>
      <c r="E887">
        <v>7</v>
      </c>
      <c r="F887" s="24" t="str">
        <f t="shared" si="67"/>
        <v>2024-7</v>
      </c>
      <c r="AA887">
        <v>45111</v>
      </c>
      <c r="AB887" t="s">
        <v>393</v>
      </c>
      <c r="AD887">
        <f t="shared" si="65"/>
        <v>0</v>
      </c>
      <c r="AE887">
        <f t="shared" si="66"/>
        <v>0</v>
      </c>
      <c r="CG887" t="s">
        <v>53</v>
      </c>
      <c r="CH887" t="s">
        <v>393</v>
      </c>
      <c r="CI887">
        <v>45111</v>
      </c>
      <c r="CJ887" t="s">
        <v>506</v>
      </c>
    </row>
    <row r="888" spans="1:88" x14ac:dyDescent="0.25">
      <c r="A888" t="s">
        <v>55</v>
      </c>
      <c r="B888" t="s">
        <v>353</v>
      </c>
      <c r="C888" t="s">
        <v>428</v>
      </c>
      <c r="D888">
        <v>57873</v>
      </c>
      <c r="E888">
        <v>9</v>
      </c>
      <c r="F888" s="24" t="str">
        <f t="shared" si="67"/>
        <v>2024-7</v>
      </c>
      <c r="AA888">
        <v>57873</v>
      </c>
      <c r="AB888" t="s">
        <v>353</v>
      </c>
      <c r="AD888">
        <f t="shared" si="65"/>
        <v>0</v>
      </c>
      <c r="AE888">
        <f t="shared" si="66"/>
        <v>0</v>
      </c>
      <c r="CG888" t="s">
        <v>55</v>
      </c>
      <c r="CH888" t="s">
        <v>353</v>
      </c>
      <c r="CI888">
        <v>57873</v>
      </c>
      <c r="CJ888" t="s">
        <v>506</v>
      </c>
    </row>
    <row r="889" spans="1:88" x14ac:dyDescent="0.25">
      <c r="A889" t="s">
        <v>37</v>
      </c>
      <c r="B889" t="s">
        <v>78</v>
      </c>
      <c r="C889" t="s">
        <v>428</v>
      </c>
      <c r="D889">
        <v>66603</v>
      </c>
      <c r="E889">
        <v>7</v>
      </c>
      <c r="F889" s="24" t="str">
        <f t="shared" si="67"/>
        <v>2024-7</v>
      </c>
      <c r="AA889">
        <v>66603</v>
      </c>
      <c r="AB889" t="s">
        <v>78</v>
      </c>
      <c r="AD889">
        <f t="shared" si="65"/>
        <v>0</v>
      </c>
      <c r="AE889">
        <f t="shared" si="66"/>
        <v>0</v>
      </c>
      <c r="CG889" t="s">
        <v>37</v>
      </c>
      <c r="CH889" t="s">
        <v>78</v>
      </c>
      <c r="CI889">
        <v>66603</v>
      </c>
      <c r="CJ889" t="s">
        <v>506</v>
      </c>
    </row>
    <row r="890" spans="1:88" x14ac:dyDescent="0.25">
      <c r="A890" t="s">
        <v>10</v>
      </c>
      <c r="B890" t="s">
        <v>284</v>
      </c>
      <c r="C890" t="s">
        <v>428</v>
      </c>
      <c r="D890">
        <v>20754</v>
      </c>
      <c r="E890">
        <v>8</v>
      </c>
      <c r="F890" s="24" t="str">
        <f t="shared" si="67"/>
        <v>2024-7</v>
      </c>
      <c r="AA890">
        <v>20754</v>
      </c>
      <c r="AB890" t="s">
        <v>284</v>
      </c>
      <c r="AD890">
        <f t="shared" si="65"/>
        <v>0</v>
      </c>
      <c r="AE890">
        <f t="shared" si="66"/>
        <v>0</v>
      </c>
      <c r="CG890" t="s">
        <v>10</v>
      </c>
      <c r="CH890" t="s">
        <v>284</v>
      </c>
      <c r="CI890">
        <v>20754</v>
      </c>
      <c r="CJ890" t="s">
        <v>506</v>
      </c>
    </row>
    <row r="891" spans="1:88" x14ac:dyDescent="0.25">
      <c r="A891" t="s">
        <v>8</v>
      </c>
      <c r="B891" t="s">
        <v>370</v>
      </c>
      <c r="C891" t="s">
        <v>429</v>
      </c>
      <c r="D891">
        <v>29016</v>
      </c>
      <c r="E891">
        <v>6</v>
      </c>
      <c r="F891" s="24" t="str">
        <f t="shared" si="67"/>
        <v>2024-7</v>
      </c>
      <c r="AA891">
        <v>29016</v>
      </c>
      <c r="AB891" t="s">
        <v>370</v>
      </c>
      <c r="AD891">
        <f t="shared" si="65"/>
        <v>0</v>
      </c>
      <c r="AE891">
        <f t="shared" si="66"/>
        <v>0</v>
      </c>
      <c r="CG891" t="s">
        <v>8</v>
      </c>
      <c r="CH891" t="s">
        <v>370</v>
      </c>
      <c r="CI891">
        <v>29016</v>
      </c>
      <c r="CJ891" t="s">
        <v>506</v>
      </c>
    </row>
    <row r="892" spans="1:88" x14ac:dyDescent="0.25">
      <c r="A892" t="s">
        <v>35</v>
      </c>
      <c r="B892" t="s">
        <v>385</v>
      </c>
      <c r="C892" t="s">
        <v>430</v>
      </c>
      <c r="D892">
        <v>90478</v>
      </c>
      <c r="E892">
        <v>5</v>
      </c>
      <c r="F892" s="24" t="str">
        <f t="shared" si="67"/>
        <v>2024-7</v>
      </c>
      <c r="AA892">
        <v>90478</v>
      </c>
      <c r="AB892" t="s">
        <v>385</v>
      </c>
      <c r="AD892">
        <f t="shared" si="65"/>
        <v>0</v>
      </c>
      <c r="AE892">
        <f t="shared" si="66"/>
        <v>0</v>
      </c>
      <c r="CG892" t="s">
        <v>35</v>
      </c>
      <c r="CH892" t="s">
        <v>385</v>
      </c>
      <c r="CI892">
        <v>90478</v>
      </c>
      <c r="CJ892" t="s">
        <v>506</v>
      </c>
    </row>
    <row r="893" spans="1:88" x14ac:dyDescent="0.25">
      <c r="A893" t="s">
        <v>37</v>
      </c>
      <c r="B893" t="s">
        <v>176</v>
      </c>
      <c r="C893" t="s">
        <v>430</v>
      </c>
      <c r="D893">
        <v>93828</v>
      </c>
      <c r="E893">
        <v>5</v>
      </c>
      <c r="F893" s="24" t="str">
        <f t="shared" si="67"/>
        <v>2024-7</v>
      </c>
      <c r="AA893">
        <v>93828</v>
      </c>
      <c r="AB893" t="s">
        <v>176</v>
      </c>
      <c r="AD893">
        <f t="shared" si="65"/>
        <v>0</v>
      </c>
      <c r="AE893">
        <f t="shared" si="66"/>
        <v>0</v>
      </c>
      <c r="CG893" t="s">
        <v>37</v>
      </c>
      <c r="CH893" t="s">
        <v>176</v>
      </c>
      <c r="CI893">
        <v>93828</v>
      </c>
      <c r="CJ893" t="s">
        <v>506</v>
      </c>
    </row>
    <row r="894" spans="1:88" x14ac:dyDescent="0.25">
      <c r="A894" t="s">
        <v>5</v>
      </c>
      <c r="B894" t="s">
        <v>197</v>
      </c>
      <c r="C894" t="s">
        <v>431</v>
      </c>
      <c r="D894">
        <v>84129</v>
      </c>
      <c r="E894">
        <v>7</v>
      </c>
      <c r="F894" s="24" t="str">
        <f t="shared" si="67"/>
        <v>2024-7</v>
      </c>
      <c r="AA894">
        <v>84129</v>
      </c>
      <c r="AB894" t="s">
        <v>197</v>
      </c>
      <c r="AD894">
        <f t="shared" si="65"/>
        <v>0</v>
      </c>
      <c r="AE894">
        <f t="shared" si="66"/>
        <v>0</v>
      </c>
      <c r="CG894" t="s">
        <v>5</v>
      </c>
      <c r="CH894" t="s">
        <v>197</v>
      </c>
      <c r="CI894">
        <v>84129</v>
      </c>
      <c r="CJ894" t="s">
        <v>506</v>
      </c>
    </row>
    <row r="895" spans="1:88" x14ac:dyDescent="0.25">
      <c r="A895" t="s">
        <v>8</v>
      </c>
      <c r="B895" t="s">
        <v>88</v>
      </c>
      <c r="C895" t="s">
        <v>431</v>
      </c>
      <c r="D895">
        <v>66663</v>
      </c>
      <c r="E895">
        <v>5</v>
      </c>
      <c r="F895" s="24" t="str">
        <f t="shared" si="67"/>
        <v>2024-7</v>
      </c>
      <c r="AA895">
        <v>66663</v>
      </c>
      <c r="AB895" t="s">
        <v>88</v>
      </c>
      <c r="AD895">
        <f t="shared" si="65"/>
        <v>0</v>
      </c>
      <c r="AE895">
        <f t="shared" si="66"/>
        <v>0</v>
      </c>
      <c r="CG895" t="s">
        <v>8</v>
      </c>
      <c r="CH895" t="s">
        <v>88</v>
      </c>
      <c r="CI895">
        <v>66663</v>
      </c>
      <c r="CJ895" t="s">
        <v>506</v>
      </c>
    </row>
    <row r="896" spans="1:88" x14ac:dyDescent="0.25">
      <c r="A896" t="s">
        <v>37</v>
      </c>
      <c r="B896" t="s">
        <v>225</v>
      </c>
      <c r="C896" t="s">
        <v>432</v>
      </c>
      <c r="D896">
        <v>49512</v>
      </c>
      <c r="E896">
        <v>2</v>
      </c>
      <c r="F896" s="24" t="str">
        <f t="shared" si="67"/>
        <v>2024-7</v>
      </c>
      <c r="AA896">
        <v>49512</v>
      </c>
      <c r="AB896" t="s">
        <v>225</v>
      </c>
      <c r="AD896">
        <f t="shared" si="65"/>
        <v>0</v>
      </c>
      <c r="AE896">
        <f t="shared" si="66"/>
        <v>0</v>
      </c>
      <c r="CG896" t="s">
        <v>37</v>
      </c>
      <c r="CH896" t="s">
        <v>225</v>
      </c>
      <c r="CI896">
        <v>49512</v>
      </c>
      <c r="CJ896" t="s">
        <v>506</v>
      </c>
    </row>
    <row r="897" spans="1:88" x14ac:dyDescent="0.25">
      <c r="A897" t="s">
        <v>29</v>
      </c>
      <c r="B897" t="s">
        <v>295</v>
      </c>
      <c r="C897" t="s">
        <v>432</v>
      </c>
      <c r="D897">
        <v>55649</v>
      </c>
      <c r="E897">
        <v>5</v>
      </c>
      <c r="F897" s="24" t="str">
        <f t="shared" si="67"/>
        <v>2024-7</v>
      </c>
      <c r="AA897">
        <v>55649</v>
      </c>
      <c r="AB897" t="s">
        <v>295</v>
      </c>
      <c r="AD897">
        <f t="shared" si="65"/>
        <v>0</v>
      </c>
      <c r="AE897">
        <f t="shared" si="66"/>
        <v>0</v>
      </c>
      <c r="CG897" t="s">
        <v>29</v>
      </c>
      <c r="CH897" t="s">
        <v>295</v>
      </c>
      <c r="CI897">
        <v>55649</v>
      </c>
      <c r="CJ897" t="s">
        <v>506</v>
      </c>
    </row>
    <row r="898" spans="1:88" x14ac:dyDescent="0.25">
      <c r="A898" t="s">
        <v>5</v>
      </c>
      <c r="B898" t="s">
        <v>231</v>
      </c>
      <c r="C898" t="s">
        <v>432</v>
      </c>
      <c r="D898">
        <v>63433</v>
      </c>
      <c r="E898">
        <v>0</v>
      </c>
      <c r="F898" s="24" t="str">
        <f t="shared" si="67"/>
        <v>2024-7</v>
      </c>
      <c r="AA898">
        <v>63433</v>
      </c>
      <c r="AB898" t="s">
        <v>231</v>
      </c>
      <c r="AD898">
        <f t="shared" ref="AD898:AD961" si="68">COUNTIF(AB:AB,AC898)</f>
        <v>0</v>
      </c>
      <c r="AE898">
        <f t="shared" ref="AE898:AE961" si="69">SUMIF(AB:AB,AC898,AA:AA)</f>
        <v>0</v>
      </c>
      <c r="CG898" t="s">
        <v>5</v>
      </c>
      <c r="CH898" t="s">
        <v>231</v>
      </c>
      <c r="CI898">
        <v>63433</v>
      </c>
      <c r="CJ898" t="s">
        <v>506</v>
      </c>
    </row>
    <row r="899" spans="1:88" x14ac:dyDescent="0.25">
      <c r="A899" t="s">
        <v>21</v>
      </c>
      <c r="B899" t="s">
        <v>70</v>
      </c>
      <c r="C899" t="s">
        <v>433</v>
      </c>
      <c r="D899">
        <v>12835</v>
      </c>
      <c r="E899">
        <v>7</v>
      </c>
      <c r="F899" s="24" t="str">
        <f t="shared" ref="F899:F962" si="70">YEAR(C899)&amp;"-"&amp;MONTH(C899)</f>
        <v>2024-7</v>
      </c>
      <c r="AA899">
        <v>12835</v>
      </c>
      <c r="AB899" t="s">
        <v>70</v>
      </c>
      <c r="AD899">
        <f t="shared" si="68"/>
        <v>0</v>
      </c>
      <c r="AE899">
        <f t="shared" si="69"/>
        <v>0</v>
      </c>
      <c r="CG899" t="s">
        <v>21</v>
      </c>
      <c r="CH899" t="s">
        <v>70</v>
      </c>
      <c r="CI899">
        <v>12835</v>
      </c>
      <c r="CJ899" t="s">
        <v>506</v>
      </c>
    </row>
    <row r="900" spans="1:88" x14ac:dyDescent="0.25">
      <c r="A900" t="s">
        <v>14</v>
      </c>
      <c r="B900" t="s">
        <v>284</v>
      </c>
      <c r="C900" t="s">
        <v>433</v>
      </c>
      <c r="D900">
        <v>23609</v>
      </c>
      <c r="E900">
        <v>7</v>
      </c>
      <c r="F900" s="24" t="str">
        <f t="shared" si="70"/>
        <v>2024-7</v>
      </c>
      <c r="AA900">
        <v>23609</v>
      </c>
      <c r="AB900" t="s">
        <v>284</v>
      </c>
      <c r="AD900">
        <f t="shared" si="68"/>
        <v>0</v>
      </c>
      <c r="AE900">
        <f t="shared" si="69"/>
        <v>0</v>
      </c>
      <c r="CG900" t="s">
        <v>14</v>
      </c>
      <c r="CH900" t="s">
        <v>284</v>
      </c>
      <c r="CI900">
        <v>23609</v>
      </c>
      <c r="CJ900" t="s">
        <v>506</v>
      </c>
    </row>
    <row r="901" spans="1:88" x14ac:dyDescent="0.25">
      <c r="A901" t="s">
        <v>35</v>
      </c>
      <c r="B901" t="s">
        <v>127</v>
      </c>
      <c r="C901" t="s">
        <v>433</v>
      </c>
      <c r="D901">
        <v>41954</v>
      </c>
      <c r="E901">
        <v>6</v>
      </c>
      <c r="F901" s="24" t="str">
        <f t="shared" si="70"/>
        <v>2024-7</v>
      </c>
      <c r="AA901">
        <v>41954</v>
      </c>
      <c r="AB901" t="s">
        <v>127</v>
      </c>
      <c r="AD901">
        <f t="shared" si="68"/>
        <v>0</v>
      </c>
      <c r="AE901">
        <f t="shared" si="69"/>
        <v>0</v>
      </c>
      <c r="CG901" t="s">
        <v>35</v>
      </c>
      <c r="CH901" t="s">
        <v>127</v>
      </c>
      <c r="CI901">
        <v>41954</v>
      </c>
      <c r="CJ901" t="s">
        <v>506</v>
      </c>
    </row>
    <row r="902" spans="1:88" x14ac:dyDescent="0.25">
      <c r="A902" t="s">
        <v>10</v>
      </c>
      <c r="B902" t="s">
        <v>300</v>
      </c>
      <c r="C902" t="s">
        <v>434</v>
      </c>
      <c r="D902">
        <v>62012</v>
      </c>
      <c r="E902">
        <v>8</v>
      </c>
      <c r="F902" s="24" t="str">
        <f t="shared" si="70"/>
        <v>2024-7</v>
      </c>
      <c r="AA902">
        <v>62012</v>
      </c>
      <c r="AB902" t="s">
        <v>300</v>
      </c>
      <c r="AD902">
        <f t="shared" si="68"/>
        <v>0</v>
      </c>
      <c r="AE902">
        <f t="shared" si="69"/>
        <v>0</v>
      </c>
      <c r="CG902" t="s">
        <v>10</v>
      </c>
      <c r="CH902" t="s">
        <v>300</v>
      </c>
      <c r="CI902">
        <v>62012</v>
      </c>
      <c r="CJ902" t="s">
        <v>506</v>
      </c>
    </row>
    <row r="903" spans="1:88" x14ac:dyDescent="0.25">
      <c r="A903" t="s">
        <v>75</v>
      </c>
      <c r="B903" t="s">
        <v>70</v>
      </c>
      <c r="C903" t="s">
        <v>435</v>
      </c>
      <c r="D903">
        <v>32739</v>
      </c>
      <c r="E903">
        <v>7</v>
      </c>
      <c r="F903" s="24" t="str">
        <f t="shared" si="70"/>
        <v>2024-7</v>
      </c>
      <c r="AA903">
        <v>32739</v>
      </c>
      <c r="AB903" t="s">
        <v>70</v>
      </c>
      <c r="AD903">
        <f t="shared" si="68"/>
        <v>0</v>
      </c>
      <c r="AE903">
        <f t="shared" si="69"/>
        <v>0</v>
      </c>
      <c r="CG903" t="s">
        <v>75</v>
      </c>
      <c r="CH903" t="s">
        <v>70</v>
      </c>
      <c r="CI903">
        <v>32739</v>
      </c>
      <c r="CJ903" t="s">
        <v>506</v>
      </c>
    </row>
    <row r="904" spans="1:88" x14ac:dyDescent="0.25">
      <c r="A904" t="s">
        <v>16</v>
      </c>
      <c r="B904" t="s">
        <v>220</v>
      </c>
      <c r="C904" t="s">
        <v>435</v>
      </c>
      <c r="D904">
        <v>78753</v>
      </c>
      <c r="E904">
        <v>5</v>
      </c>
      <c r="F904" s="24" t="str">
        <f t="shared" si="70"/>
        <v>2024-7</v>
      </c>
      <c r="AA904">
        <v>78753</v>
      </c>
      <c r="AB904" t="s">
        <v>220</v>
      </c>
      <c r="AD904">
        <f t="shared" si="68"/>
        <v>0</v>
      </c>
      <c r="AE904">
        <f t="shared" si="69"/>
        <v>0</v>
      </c>
      <c r="CG904" t="s">
        <v>16</v>
      </c>
      <c r="CH904" t="s">
        <v>220</v>
      </c>
      <c r="CI904">
        <v>78753</v>
      </c>
      <c r="CJ904" t="s">
        <v>506</v>
      </c>
    </row>
    <row r="905" spans="1:88" x14ac:dyDescent="0.25">
      <c r="A905" t="s">
        <v>75</v>
      </c>
      <c r="B905" t="s">
        <v>122</v>
      </c>
      <c r="C905" t="s">
        <v>435</v>
      </c>
      <c r="D905">
        <v>72517</v>
      </c>
      <c r="E905">
        <v>3</v>
      </c>
      <c r="F905" s="24" t="str">
        <f t="shared" si="70"/>
        <v>2024-7</v>
      </c>
      <c r="AA905">
        <v>72517</v>
      </c>
      <c r="AB905" t="s">
        <v>122</v>
      </c>
      <c r="AD905">
        <f t="shared" si="68"/>
        <v>0</v>
      </c>
      <c r="AE905">
        <f t="shared" si="69"/>
        <v>0</v>
      </c>
      <c r="CG905" t="s">
        <v>75</v>
      </c>
      <c r="CH905" t="s">
        <v>122</v>
      </c>
      <c r="CI905">
        <v>72517</v>
      </c>
      <c r="CJ905" t="s">
        <v>506</v>
      </c>
    </row>
    <row r="906" spans="1:88" x14ac:dyDescent="0.25">
      <c r="A906" t="s">
        <v>53</v>
      </c>
      <c r="B906" t="s">
        <v>237</v>
      </c>
      <c r="C906" t="s">
        <v>435</v>
      </c>
      <c r="D906">
        <v>97820</v>
      </c>
      <c r="E906">
        <v>7</v>
      </c>
      <c r="F906" s="24" t="str">
        <f t="shared" si="70"/>
        <v>2024-7</v>
      </c>
      <c r="AA906">
        <v>97820</v>
      </c>
      <c r="AB906" t="s">
        <v>237</v>
      </c>
      <c r="AD906">
        <f t="shared" si="68"/>
        <v>0</v>
      </c>
      <c r="AE906">
        <f t="shared" si="69"/>
        <v>0</v>
      </c>
      <c r="CG906" t="s">
        <v>53</v>
      </c>
      <c r="CH906" t="s">
        <v>237</v>
      </c>
      <c r="CI906">
        <v>97820</v>
      </c>
      <c r="CJ906" t="s">
        <v>506</v>
      </c>
    </row>
    <row r="907" spans="1:88" x14ac:dyDescent="0.25">
      <c r="A907" t="s">
        <v>53</v>
      </c>
      <c r="B907" t="s">
        <v>149</v>
      </c>
      <c r="C907" t="s">
        <v>435</v>
      </c>
      <c r="D907">
        <v>31672</v>
      </c>
      <c r="E907">
        <v>5</v>
      </c>
      <c r="F907" s="24" t="str">
        <f t="shared" si="70"/>
        <v>2024-7</v>
      </c>
      <c r="AA907">
        <v>31672</v>
      </c>
      <c r="AB907" t="s">
        <v>149</v>
      </c>
      <c r="AD907">
        <f t="shared" si="68"/>
        <v>0</v>
      </c>
      <c r="AE907">
        <f t="shared" si="69"/>
        <v>0</v>
      </c>
      <c r="CG907" t="s">
        <v>53</v>
      </c>
      <c r="CH907" t="s">
        <v>149</v>
      </c>
      <c r="CI907">
        <v>31672</v>
      </c>
      <c r="CJ907" t="s">
        <v>506</v>
      </c>
    </row>
    <row r="908" spans="1:88" x14ac:dyDescent="0.25">
      <c r="A908" t="s">
        <v>75</v>
      </c>
      <c r="B908" t="s">
        <v>25</v>
      </c>
      <c r="C908" t="s">
        <v>436</v>
      </c>
      <c r="D908">
        <v>28888</v>
      </c>
      <c r="E908">
        <v>8</v>
      </c>
      <c r="F908" s="24" t="str">
        <f t="shared" si="70"/>
        <v>2024-7</v>
      </c>
      <c r="AA908">
        <v>28888</v>
      </c>
      <c r="AB908" t="s">
        <v>25</v>
      </c>
      <c r="AD908">
        <f t="shared" si="68"/>
        <v>0</v>
      </c>
      <c r="AE908">
        <f t="shared" si="69"/>
        <v>0</v>
      </c>
      <c r="CG908" t="s">
        <v>75</v>
      </c>
      <c r="CH908" t="s">
        <v>25</v>
      </c>
      <c r="CI908">
        <v>28888</v>
      </c>
      <c r="CJ908" t="s">
        <v>506</v>
      </c>
    </row>
    <row r="909" spans="1:88" x14ac:dyDescent="0.25">
      <c r="A909" t="s">
        <v>53</v>
      </c>
      <c r="B909" t="s">
        <v>161</v>
      </c>
      <c r="C909" t="s">
        <v>437</v>
      </c>
      <c r="D909">
        <v>21972</v>
      </c>
      <c r="E909">
        <v>4</v>
      </c>
      <c r="F909" s="24" t="str">
        <f t="shared" si="70"/>
        <v>2024-7</v>
      </c>
      <c r="AA909">
        <v>21972</v>
      </c>
      <c r="AB909" t="s">
        <v>161</v>
      </c>
      <c r="AD909">
        <f t="shared" si="68"/>
        <v>0</v>
      </c>
      <c r="AE909">
        <f t="shared" si="69"/>
        <v>0</v>
      </c>
      <c r="CG909" t="s">
        <v>53</v>
      </c>
      <c r="CH909" t="s">
        <v>161</v>
      </c>
      <c r="CI909">
        <v>21972</v>
      </c>
      <c r="CJ909" t="s">
        <v>506</v>
      </c>
    </row>
    <row r="910" spans="1:88" x14ac:dyDescent="0.25">
      <c r="A910" t="s">
        <v>53</v>
      </c>
      <c r="B910" t="s">
        <v>202</v>
      </c>
      <c r="C910" t="s">
        <v>438</v>
      </c>
      <c r="D910">
        <v>76704</v>
      </c>
      <c r="E910">
        <v>9</v>
      </c>
      <c r="F910" s="24" t="str">
        <f t="shared" si="70"/>
        <v>2024-7</v>
      </c>
      <c r="AA910">
        <v>76704</v>
      </c>
      <c r="AB910" t="s">
        <v>202</v>
      </c>
      <c r="AD910">
        <f t="shared" si="68"/>
        <v>0</v>
      </c>
      <c r="AE910">
        <f t="shared" si="69"/>
        <v>0</v>
      </c>
      <c r="CG910" t="s">
        <v>53</v>
      </c>
      <c r="CH910" t="s">
        <v>202</v>
      </c>
      <c r="CI910">
        <v>76704</v>
      </c>
      <c r="CJ910" t="s">
        <v>506</v>
      </c>
    </row>
    <row r="911" spans="1:88" x14ac:dyDescent="0.25">
      <c r="A911" t="s">
        <v>5</v>
      </c>
      <c r="B911" t="s">
        <v>39</v>
      </c>
      <c r="C911" t="s">
        <v>438</v>
      </c>
      <c r="D911">
        <v>79377</v>
      </c>
      <c r="E911">
        <v>0</v>
      </c>
      <c r="F911" s="24" t="str">
        <f t="shared" si="70"/>
        <v>2024-7</v>
      </c>
      <c r="AA911">
        <v>79377</v>
      </c>
      <c r="AB911" t="s">
        <v>39</v>
      </c>
      <c r="AD911">
        <f t="shared" si="68"/>
        <v>0</v>
      </c>
      <c r="AE911">
        <f t="shared" si="69"/>
        <v>0</v>
      </c>
      <c r="CG911" t="s">
        <v>5</v>
      </c>
      <c r="CH911" t="s">
        <v>39</v>
      </c>
      <c r="CI911">
        <v>79377</v>
      </c>
      <c r="CJ911" t="s">
        <v>506</v>
      </c>
    </row>
    <row r="912" spans="1:88" x14ac:dyDescent="0.25">
      <c r="A912" t="s">
        <v>10</v>
      </c>
      <c r="B912" t="s">
        <v>26</v>
      </c>
      <c r="C912" t="s">
        <v>438</v>
      </c>
      <c r="D912">
        <v>27768</v>
      </c>
      <c r="E912">
        <v>7</v>
      </c>
      <c r="F912" s="24" t="str">
        <f t="shared" si="70"/>
        <v>2024-7</v>
      </c>
      <c r="AA912">
        <v>27768</v>
      </c>
      <c r="AB912" t="s">
        <v>26</v>
      </c>
      <c r="AD912">
        <f t="shared" si="68"/>
        <v>0</v>
      </c>
      <c r="AE912">
        <f t="shared" si="69"/>
        <v>0</v>
      </c>
      <c r="CG912" t="s">
        <v>10</v>
      </c>
      <c r="CH912" t="s">
        <v>26</v>
      </c>
      <c r="CI912">
        <v>27768</v>
      </c>
      <c r="CJ912" t="s">
        <v>506</v>
      </c>
    </row>
    <row r="913" spans="1:88" x14ac:dyDescent="0.25">
      <c r="A913" t="s">
        <v>35</v>
      </c>
      <c r="B913" t="s">
        <v>64</v>
      </c>
      <c r="C913" t="s">
        <v>438</v>
      </c>
      <c r="D913">
        <v>78487</v>
      </c>
      <c r="E913">
        <v>7</v>
      </c>
      <c r="F913" s="24" t="str">
        <f t="shared" si="70"/>
        <v>2024-7</v>
      </c>
      <c r="AA913">
        <v>78487</v>
      </c>
      <c r="AB913" t="s">
        <v>64</v>
      </c>
      <c r="AD913">
        <f t="shared" si="68"/>
        <v>0</v>
      </c>
      <c r="AE913">
        <f t="shared" si="69"/>
        <v>0</v>
      </c>
      <c r="CG913" t="s">
        <v>35</v>
      </c>
      <c r="CH913" t="s">
        <v>64</v>
      </c>
      <c r="CI913">
        <v>78487</v>
      </c>
      <c r="CJ913" t="s">
        <v>506</v>
      </c>
    </row>
    <row r="914" spans="1:88" x14ac:dyDescent="0.25">
      <c r="A914" t="s">
        <v>37</v>
      </c>
      <c r="B914" t="s">
        <v>12</v>
      </c>
      <c r="C914" t="s">
        <v>438</v>
      </c>
      <c r="D914">
        <v>89021</v>
      </c>
      <c r="E914">
        <v>6</v>
      </c>
      <c r="F914" s="24" t="str">
        <f t="shared" si="70"/>
        <v>2024-7</v>
      </c>
      <c r="AA914">
        <v>89021</v>
      </c>
      <c r="AB914" t="s">
        <v>12</v>
      </c>
      <c r="AD914">
        <f t="shared" si="68"/>
        <v>0</v>
      </c>
      <c r="AE914">
        <f t="shared" si="69"/>
        <v>0</v>
      </c>
      <c r="CG914" t="s">
        <v>37</v>
      </c>
      <c r="CH914" t="s">
        <v>12</v>
      </c>
      <c r="CI914">
        <v>89021</v>
      </c>
      <c r="CJ914" t="s">
        <v>506</v>
      </c>
    </row>
    <row r="915" spans="1:88" x14ac:dyDescent="0.25">
      <c r="A915" t="s">
        <v>16</v>
      </c>
      <c r="B915" t="s">
        <v>19</v>
      </c>
      <c r="C915" t="s">
        <v>439</v>
      </c>
      <c r="D915">
        <v>11297</v>
      </c>
      <c r="E915">
        <v>7</v>
      </c>
      <c r="F915" s="24" t="str">
        <f t="shared" si="70"/>
        <v>2024-7</v>
      </c>
      <c r="AA915">
        <v>11297</v>
      </c>
      <c r="AB915" t="s">
        <v>19</v>
      </c>
      <c r="AD915">
        <f t="shared" si="68"/>
        <v>0</v>
      </c>
      <c r="AE915">
        <f t="shared" si="69"/>
        <v>0</v>
      </c>
      <c r="CG915" t="s">
        <v>16</v>
      </c>
      <c r="CH915" t="s">
        <v>19</v>
      </c>
      <c r="CI915">
        <v>11297</v>
      </c>
      <c r="CJ915" t="s">
        <v>506</v>
      </c>
    </row>
    <row r="916" spans="1:88" x14ac:dyDescent="0.25">
      <c r="A916" t="s">
        <v>29</v>
      </c>
      <c r="B916" t="s">
        <v>314</v>
      </c>
      <c r="C916" t="s">
        <v>439</v>
      </c>
      <c r="D916">
        <v>68317</v>
      </c>
      <c r="E916">
        <v>3</v>
      </c>
      <c r="F916" s="24" t="str">
        <f t="shared" si="70"/>
        <v>2024-7</v>
      </c>
      <c r="AA916">
        <v>68317</v>
      </c>
      <c r="AB916" t="s">
        <v>314</v>
      </c>
      <c r="AD916">
        <f t="shared" si="68"/>
        <v>0</v>
      </c>
      <c r="AE916">
        <f t="shared" si="69"/>
        <v>0</v>
      </c>
      <c r="CG916" t="s">
        <v>29</v>
      </c>
      <c r="CH916" t="s">
        <v>314</v>
      </c>
      <c r="CI916">
        <v>68317</v>
      </c>
      <c r="CJ916" t="s">
        <v>506</v>
      </c>
    </row>
    <row r="917" spans="1:88" x14ac:dyDescent="0.25">
      <c r="A917" t="s">
        <v>10</v>
      </c>
      <c r="B917" t="s">
        <v>306</v>
      </c>
      <c r="C917" t="s">
        <v>439</v>
      </c>
      <c r="D917">
        <v>30149</v>
      </c>
      <c r="E917">
        <v>7</v>
      </c>
      <c r="F917" s="24" t="str">
        <f t="shared" si="70"/>
        <v>2024-7</v>
      </c>
      <c r="AA917">
        <v>30149</v>
      </c>
      <c r="AB917" t="s">
        <v>306</v>
      </c>
      <c r="AD917">
        <f t="shared" si="68"/>
        <v>0</v>
      </c>
      <c r="AE917">
        <f t="shared" si="69"/>
        <v>0</v>
      </c>
      <c r="CG917" t="s">
        <v>10</v>
      </c>
      <c r="CH917" t="s">
        <v>306</v>
      </c>
      <c r="CI917">
        <v>30149</v>
      </c>
      <c r="CJ917" t="s">
        <v>506</v>
      </c>
    </row>
    <row r="918" spans="1:88" x14ac:dyDescent="0.25">
      <c r="A918" t="s">
        <v>8</v>
      </c>
      <c r="B918" t="s">
        <v>158</v>
      </c>
      <c r="C918" t="s">
        <v>439</v>
      </c>
      <c r="D918">
        <v>18020</v>
      </c>
      <c r="E918">
        <v>9</v>
      </c>
      <c r="F918" s="24" t="str">
        <f t="shared" si="70"/>
        <v>2024-7</v>
      </c>
      <c r="AA918">
        <v>18020</v>
      </c>
      <c r="AB918" t="s">
        <v>158</v>
      </c>
      <c r="AD918">
        <f t="shared" si="68"/>
        <v>0</v>
      </c>
      <c r="AE918">
        <f t="shared" si="69"/>
        <v>0</v>
      </c>
      <c r="CG918" t="s">
        <v>8</v>
      </c>
      <c r="CH918" t="s">
        <v>158</v>
      </c>
      <c r="CI918">
        <v>18020</v>
      </c>
      <c r="CJ918" t="s">
        <v>506</v>
      </c>
    </row>
    <row r="919" spans="1:88" x14ac:dyDescent="0.25">
      <c r="A919" t="s">
        <v>21</v>
      </c>
      <c r="B919" t="s">
        <v>156</v>
      </c>
      <c r="C919" t="s">
        <v>439</v>
      </c>
      <c r="D919">
        <v>43522</v>
      </c>
      <c r="E919">
        <v>6</v>
      </c>
      <c r="F919" s="24" t="str">
        <f t="shared" si="70"/>
        <v>2024-7</v>
      </c>
      <c r="AA919">
        <v>43522</v>
      </c>
      <c r="AB919" t="s">
        <v>156</v>
      </c>
      <c r="AD919">
        <f t="shared" si="68"/>
        <v>0</v>
      </c>
      <c r="AE919">
        <f t="shared" si="69"/>
        <v>0</v>
      </c>
      <c r="CG919" t="s">
        <v>21</v>
      </c>
      <c r="CH919" t="s">
        <v>156</v>
      </c>
      <c r="CI919">
        <v>43522</v>
      </c>
      <c r="CJ919" t="s">
        <v>506</v>
      </c>
    </row>
    <row r="920" spans="1:88" x14ac:dyDescent="0.25">
      <c r="A920" t="s">
        <v>8</v>
      </c>
      <c r="B920" t="s">
        <v>98</v>
      </c>
      <c r="C920" t="s">
        <v>440</v>
      </c>
      <c r="D920">
        <v>21038</v>
      </c>
      <c r="E920">
        <v>7</v>
      </c>
      <c r="F920" s="24" t="str">
        <f t="shared" si="70"/>
        <v>2024-7</v>
      </c>
      <c r="AA920">
        <v>21038</v>
      </c>
      <c r="AB920" t="s">
        <v>98</v>
      </c>
      <c r="AD920">
        <f t="shared" si="68"/>
        <v>0</v>
      </c>
      <c r="AE920">
        <f t="shared" si="69"/>
        <v>0</v>
      </c>
      <c r="CG920" t="s">
        <v>8</v>
      </c>
      <c r="CH920" t="s">
        <v>98</v>
      </c>
      <c r="CI920">
        <v>21038</v>
      </c>
      <c r="CJ920" t="s">
        <v>506</v>
      </c>
    </row>
    <row r="921" spans="1:88" x14ac:dyDescent="0.25">
      <c r="A921" t="s">
        <v>75</v>
      </c>
      <c r="B921" t="s">
        <v>81</v>
      </c>
      <c r="C921" t="s">
        <v>440</v>
      </c>
      <c r="D921">
        <v>71465</v>
      </c>
      <c r="E921">
        <v>6</v>
      </c>
      <c r="F921" s="24" t="str">
        <f t="shared" si="70"/>
        <v>2024-7</v>
      </c>
      <c r="AA921">
        <v>71465</v>
      </c>
      <c r="AB921" t="s">
        <v>81</v>
      </c>
      <c r="AD921">
        <f t="shared" si="68"/>
        <v>0</v>
      </c>
      <c r="AE921">
        <f t="shared" si="69"/>
        <v>0</v>
      </c>
      <c r="CG921" t="s">
        <v>75</v>
      </c>
      <c r="CH921" t="s">
        <v>81</v>
      </c>
      <c r="CI921">
        <v>71465</v>
      </c>
      <c r="CJ921" t="s">
        <v>506</v>
      </c>
    </row>
    <row r="922" spans="1:88" x14ac:dyDescent="0.25">
      <c r="A922" t="s">
        <v>55</v>
      </c>
      <c r="B922" t="s">
        <v>268</v>
      </c>
      <c r="C922" t="s">
        <v>440</v>
      </c>
      <c r="D922">
        <v>32286</v>
      </c>
      <c r="E922">
        <v>6</v>
      </c>
      <c r="F922" s="24" t="str">
        <f t="shared" si="70"/>
        <v>2024-7</v>
      </c>
      <c r="AA922">
        <v>32286</v>
      </c>
      <c r="AB922" t="s">
        <v>268</v>
      </c>
      <c r="AD922">
        <f t="shared" si="68"/>
        <v>0</v>
      </c>
      <c r="AE922">
        <f t="shared" si="69"/>
        <v>0</v>
      </c>
      <c r="CG922" t="s">
        <v>55</v>
      </c>
      <c r="CH922" t="s">
        <v>268</v>
      </c>
      <c r="CI922">
        <v>32286</v>
      </c>
      <c r="CJ922" t="s">
        <v>506</v>
      </c>
    </row>
    <row r="923" spans="1:88" x14ac:dyDescent="0.25">
      <c r="A923" t="s">
        <v>75</v>
      </c>
      <c r="B923" t="s">
        <v>319</v>
      </c>
      <c r="C923" t="s">
        <v>441</v>
      </c>
      <c r="D923">
        <v>56316</v>
      </c>
      <c r="E923">
        <v>9</v>
      </c>
      <c r="F923" s="24" t="str">
        <f t="shared" si="70"/>
        <v>2024-8</v>
      </c>
      <c r="AA923">
        <v>56316</v>
      </c>
      <c r="AB923" t="s">
        <v>319</v>
      </c>
      <c r="AD923">
        <f t="shared" si="68"/>
        <v>0</v>
      </c>
      <c r="AE923">
        <f t="shared" si="69"/>
        <v>0</v>
      </c>
      <c r="CG923" t="s">
        <v>75</v>
      </c>
      <c r="CH923" t="s">
        <v>319</v>
      </c>
      <c r="CI923">
        <v>56316</v>
      </c>
      <c r="CJ923" t="s">
        <v>507</v>
      </c>
    </row>
    <row r="924" spans="1:88" x14ac:dyDescent="0.25">
      <c r="A924" t="s">
        <v>29</v>
      </c>
      <c r="B924" t="s">
        <v>26</v>
      </c>
      <c r="C924" t="s">
        <v>441</v>
      </c>
      <c r="D924">
        <v>27470</v>
      </c>
      <c r="E924">
        <v>7</v>
      </c>
      <c r="F924" s="24" t="str">
        <f t="shared" si="70"/>
        <v>2024-8</v>
      </c>
      <c r="AA924">
        <v>27470</v>
      </c>
      <c r="AB924" t="s">
        <v>26</v>
      </c>
      <c r="AD924">
        <f t="shared" si="68"/>
        <v>0</v>
      </c>
      <c r="AE924">
        <f t="shared" si="69"/>
        <v>0</v>
      </c>
      <c r="CG924" t="s">
        <v>29</v>
      </c>
      <c r="CH924" t="s">
        <v>26</v>
      </c>
      <c r="CI924">
        <v>27470</v>
      </c>
      <c r="CJ924" t="s">
        <v>507</v>
      </c>
    </row>
    <row r="925" spans="1:88" x14ac:dyDescent="0.25">
      <c r="A925" t="s">
        <v>8</v>
      </c>
      <c r="B925" t="s">
        <v>214</v>
      </c>
      <c r="C925" t="s">
        <v>441</v>
      </c>
      <c r="D925">
        <v>95046</v>
      </c>
      <c r="E925">
        <v>2</v>
      </c>
      <c r="F925" s="24" t="str">
        <f t="shared" si="70"/>
        <v>2024-8</v>
      </c>
      <c r="AA925">
        <v>95046</v>
      </c>
      <c r="AB925" t="s">
        <v>214</v>
      </c>
      <c r="AD925">
        <f t="shared" si="68"/>
        <v>0</v>
      </c>
      <c r="AE925">
        <f t="shared" si="69"/>
        <v>0</v>
      </c>
      <c r="CG925" t="s">
        <v>8</v>
      </c>
      <c r="CH925" t="s">
        <v>214</v>
      </c>
      <c r="CI925">
        <v>95046</v>
      </c>
      <c r="CJ925" t="s">
        <v>507</v>
      </c>
    </row>
    <row r="926" spans="1:88" x14ac:dyDescent="0.25">
      <c r="A926" t="s">
        <v>16</v>
      </c>
      <c r="B926" t="s">
        <v>194</v>
      </c>
      <c r="C926" t="s">
        <v>441</v>
      </c>
      <c r="D926">
        <v>50114</v>
      </c>
      <c r="E926">
        <v>7</v>
      </c>
      <c r="F926" s="24" t="str">
        <f t="shared" si="70"/>
        <v>2024-8</v>
      </c>
      <c r="AA926">
        <v>50114</v>
      </c>
      <c r="AB926" t="s">
        <v>194</v>
      </c>
      <c r="AD926">
        <f t="shared" si="68"/>
        <v>0</v>
      </c>
      <c r="AE926">
        <f t="shared" si="69"/>
        <v>0</v>
      </c>
      <c r="CG926" t="s">
        <v>16</v>
      </c>
      <c r="CH926" t="s">
        <v>194</v>
      </c>
      <c r="CI926">
        <v>50114</v>
      </c>
      <c r="CJ926" t="s">
        <v>507</v>
      </c>
    </row>
    <row r="927" spans="1:88" x14ac:dyDescent="0.25">
      <c r="A927" t="s">
        <v>53</v>
      </c>
      <c r="B927" t="s">
        <v>43</v>
      </c>
      <c r="C927" t="s">
        <v>441</v>
      </c>
      <c r="D927">
        <v>15416</v>
      </c>
      <c r="E927">
        <v>5</v>
      </c>
      <c r="F927" s="24" t="str">
        <f t="shared" si="70"/>
        <v>2024-8</v>
      </c>
      <c r="AA927">
        <v>15416</v>
      </c>
      <c r="AB927" t="s">
        <v>43</v>
      </c>
      <c r="AD927">
        <f t="shared" si="68"/>
        <v>0</v>
      </c>
      <c r="AE927">
        <f t="shared" si="69"/>
        <v>0</v>
      </c>
      <c r="CG927" t="s">
        <v>53</v>
      </c>
      <c r="CH927" t="s">
        <v>43</v>
      </c>
      <c r="CI927">
        <v>15416</v>
      </c>
      <c r="CJ927" t="s">
        <v>507</v>
      </c>
    </row>
    <row r="928" spans="1:88" x14ac:dyDescent="0.25">
      <c r="A928" t="s">
        <v>5</v>
      </c>
      <c r="B928" t="s">
        <v>220</v>
      </c>
      <c r="C928" t="s">
        <v>442</v>
      </c>
      <c r="D928">
        <v>46198</v>
      </c>
      <c r="E928">
        <v>9</v>
      </c>
      <c r="F928" s="24" t="str">
        <f t="shared" si="70"/>
        <v>2024-8</v>
      </c>
      <c r="AA928">
        <v>46198</v>
      </c>
      <c r="AB928" t="s">
        <v>220</v>
      </c>
      <c r="AD928">
        <f t="shared" si="68"/>
        <v>0</v>
      </c>
      <c r="AE928">
        <f t="shared" si="69"/>
        <v>0</v>
      </c>
      <c r="CG928" t="s">
        <v>5</v>
      </c>
      <c r="CH928" t="s">
        <v>220</v>
      </c>
      <c r="CI928">
        <v>46198</v>
      </c>
      <c r="CJ928" t="s">
        <v>507</v>
      </c>
    </row>
    <row r="929" spans="1:88" x14ac:dyDescent="0.25">
      <c r="A929" t="s">
        <v>75</v>
      </c>
      <c r="B929" t="s">
        <v>155</v>
      </c>
      <c r="C929" t="s">
        <v>442</v>
      </c>
      <c r="D929">
        <v>51230</v>
      </c>
      <c r="E929">
        <v>8</v>
      </c>
      <c r="F929" s="24" t="str">
        <f t="shared" si="70"/>
        <v>2024-8</v>
      </c>
      <c r="AA929">
        <v>51230</v>
      </c>
      <c r="AB929" t="s">
        <v>155</v>
      </c>
      <c r="AD929">
        <f t="shared" si="68"/>
        <v>0</v>
      </c>
      <c r="AE929">
        <f t="shared" si="69"/>
        <v>0</v>
      </c>
      <c r="CG929" t="s">
        <v>75</v>
      </c>
      <c r="CH929" t="s">
        <v>155</v>
      </c>
      <c r="CI929">
        <v>51230</v>
      </c>
      <c r="CJ929" t="s">
        <v>507</v>
      </c>
    </row>
    <row r="930" spans="1:88" x14ac:dyDescent="0.25">
      <c r="A930" t="s">
        <v>5</v>
      </c>
      <c r="B930" t="s">
        <v>18</v>
      </c>
      <c r="C930" t="s">
        <v>442</v>
      </c>
      <c r="D930">
        <v>10231</v>
      </c>
      <c r="E930">
        <v>9</v>
      </c>
      <c r="F930" s="24" t="str">
        <f t="shared" si="70"/>
        <v>2024-8</v>
      </c>
      <c r="AA930">
        <v>10231</v>
      </c>
      <c r="AB930" t="s">
        <v>18</v>
      </c>
      <c r="AD930">
        <f t="shared" si="68"/>
        <v>0</v>
      </c>
      <c r="AE930">
        <f t="shared" si="69"/>
        <v>0</v>
      </c>
      <c r="CG930" t="s">
        <v>5</v>
      </c>
      <c r="CH930" t="s">
        <v>18</v>
      </c>
      <c r="CI930">
        <v>10231</v>
      </c>
      <c r="CJ930" t="s">
        <v>507</v>
      </c>
    </row>
    <row r="931" spans="1:88" x14ac:dyDescent="0.25">
      <c r="A931" t="s">
        <v>75</v>
      </c>
      <c r="B931" t="s">
        <v>179</v>
      </c>
      <c r="C931" t="s">
        <v>443</v>
      </c>
      <c r="D931">
        <v>76716</v>
      </c>
      <c r="E931">
        <v>8</v>
      </c>
      <c r="F931" s="24" t="str">
        <f t="shared" si="70"/>
        <v>2024-8</v>
      </c>
      <c r="AA931">
        <v>76716</v>
      </c>
      <c r="AB931" t="s">
        <v>179</v>
      </c>
      <c r="AD931">
        <f t="shared" si="68"/>
        <v>0</v>
      </c>
      <c r="AE931">
        <f t="shared" si="69"/>
        <v>0</v>
      </c>
      <c r="CG931" t="s">
        <v>75</v>
      </c>
      <c r="CH931" t="s">
        <v>179</v>
      </c>
      <c r="CI931">
        <v>76716</v>
      </c>
      <c r="CJ931" t="s">
        <v>507</v>
      </c>
    </row>
    <row r="932" spans="1:88" x14ac:dyDescent="0.25">
      <c r="A932" t="s">
        <v>53</v>
      </c>
      <c r="B932" t="s">
        <v>25</v>
      </c>
      <c r="C932" t="s">
        <v>443</v>
      </c>
      <c r="D932">
        <v>44028</v>
      </c>
      <c r="E932">
        <v>10</v>
      </c>
      <c r="F932" s="24" t="str">
        <f t="shared" si="70"/>
        <v>2024-8</v>
      </c>
      <c r="AA932">
        <v>44028</v>
      </c>
      <c r="AB932" t="s">
        <v>25</v>
      </c>
      <c r="AD932">
        <f t="shared" si="68"/>
        <v>0</v>
      </c>
      <c r="AE932">
        <f t="shared" si="69"/>
        <v>0</v>
      </c>
      <c r="CG932" t="s">
        <v>53</v>
      </c>
      <c r="CH932" t="s">
        <v>25</v>
      </c>
      <c r="CI932">
        <v>44028</v>
      </c>
      <c r="CJ932" t="s">
        <v>507</v>
      </c>
    </row>
    <row r="933" spans="1:88" x14ac:dyDescent="0.25">
      <c r="A933" t="s">
        <v>21</v>
      </c>
      <c r="B933" t="s">
        <v>33</v>
      </c>
      <c r="C933" t="s">
        <v>443</v>
      </c>
      <c r="D933">
        <v>15405</v>
      </c>
      <c r="E933">
        <v>8</v>
      </c>
      <c r="F933" s="24" t="str">
        <f t="shared" si="70"/>
        <v>2024-8</v>
      </c>
      <c r="AA933">
        <v>15405</v>
      </c>
      <c r="AB933" t="s">
        <v>33</v>
      </c>
      <c r="AD933">
        <f t="shared" si="68"/>
        <v>0</v>
      </c>
      <c r="AE933">
        <f t="shared" si="69"/>
        <v>0</v>
      </c>
      <c r="CG933" t="s">
        <v>21</v>
      </c>
      <c r="CH933" t="s">
        <v>33</v>
      </c>
      <c r="CI933">
        <v>15405</v>
      </c>
      <c r="CJ933" t="s">
        <v>507</v>
      </c>
    </row>
    <row r="934" spans="1:88" x14ac:dyDescent="0.25">
      <c r="A934" t="s">
        <v>5</v>
      </c>
      <c r="B934" t="s">
        <v>353</v>
      </c>
      <c r="C934" t="s">
        <v>443</v>
      </c>
      <c r="D934">
        <v>16273</v>
      </c>
      <c r="E934">
        <v>5</v>
      </c>
      <c r="F934" s="24" t="str">
        <f t="shared" si="70"/>
        <v>2024-8</v>
      </c>
      <c r="AA934">
        <v>16273</v>
      </c>
      <c r="AB934" t="s">
        <v>353</v>
      </c>
      <c r="AD934">
        <f t="shared" si="68"/>
        <v>0</v>
      </c>
      <c r="AE934">
        <f t="shared" si="69"/>
        <v>0</v>
      </c>
      <c r="CG934" t="s">
        <v>5</v>
      </c>
      <c r="CH934" t="s">
        <v>353</v>
      </c>
      <c r="CI934">
        <v>16273</v>
      </c>
      <c r="CJ934" t="s">
        <v>507</v>
      </c>
    </row>
    <row r="935" spans="1:88" x14ac:dyDescent="0.25">
      <c r="A935" t="s">
        <v>29</v>
      </c>
      <c r="B935" t="s">
        <v>66</v>
      </c>
      <c r="C935" t="s">
        <v>443</v>
      </c>
      <c r="D935">
        <v>86759</v>
      </c>
      <c r="E935">
        <v>10</v>
      </c>
      <c r="F935" s="24" t="str">
        <f t="shared" si="70"/>
        <v>2024-8</v>
      </c>
      <c r="AA935">
        <v>86759</v>
      </c>
      <c r="AB935" t="s">
        <v>66</v>
      </c>
      <c r="AD935">
        <f t="shared" si="68"/>
        <v>0</v>
      </c>
      <c r="AE935">
        <f t="shared" si="69"/>
        <v>0</v>
      </c>
      <c r="CG935" t="s">
        <v>29</v>
      </c>
      <c r="CH935" t="s">
        <v>66</v>
      </c>
      <c r="CI935">
        <v>86759</v>
      </c>
      <c r="CJ935" t="s">
        <v>507</v>
      </c>
    </row>
    <row r="936" spans="1:88" x14ac:dyDescent="0.25">
      <c r="A936" t="s">
        <v>53</v>
      </c>
      <c r="B936" t="s">
        <v>122</v>
      </c>
      <c r="C936" t="s">
        <v>443</v>
      </c>
      <c r="D936">
        <v>58776</v>
      </c>
      <c r="E936">
        <v>4</v>
      </c>
      <c r="F936" s="24" t="str">
        <f t="shared" si="70"/>
        <v>2024-8</v>
      </c>
      <c r="AA936">
        <v>58776</v>
      </c>
      <c r="AB936" t="s">
        <v>122</v>
      </c>
      <c r="AD936">
        <f t="shared" si="68"/>
        <v>0</v>
      </c>
      <c r="AE936">
        <f t="shared" si="69"/>
        <v>0</v>
      </c>
      <c r="CG936" t="s">
        <v>53</v>
      </c>
      <c r="CH936" t="s">
        <v>122</v>
      </c>
      <c r="CI936">
        <v>58776</v>
      </c>
      <c r="CJ936" t="s">
        <v>507</v>
      </c>
    </row>
    <row r="937" spans="1:88" x14ac:dyDescent="0.25">
      <c r="A937" t="s">
        <v>8</v>
      </c>
      <c r="B937" t="s">
        <v>17</v>
      </c>
      <c r="C937" t="s">
        <v>443</v>
      </c>
      <c r="D937">
        <v>46478</v>
      </c>
      <c r="E937">
        <v>9</v>
      </c>
      <c r="F937" s="24" t="str">
        <f t="shared" si="70"/>
        <v>2024-8</v>
      </c>
      <c r="AA937">
        <v>46478</v>
      </c>
      <c r="AB937" t="s">
        <v>17</v>
      </c>
      <c r="AD937">
        <f t="shared" si="68"/>
        <v>0</v>
      </c>
      <c r="AE937">
        <f t="shared" si="69"/>
        <v>0</v>
      </c>
      <c r="CG937" t="s">
        <v>8</v>
      </c>
      <c r="CH937" t="s">
        <v>17</v>
      </c>
      <c r="CI937">
        <v>46478</v>
      </c>
      <c r="CJ937" t="s">
        <v>507</v>
      </c>
    </row>
    <row r="938" spans="1:88" x14ac:dyDescent="0.25">
      <c r="A938" t="s">
        <v>14</v>
      </c>
      <c r="B938" t="s">
        <v>275</v>
      </c>
      <c r="C938" t="s">
        <v>443</v>
      </c>
      <c r="D938">
        <v>76442</v>
      </c>
      <c r="E938">
        <v>9</v>
      </c>
      <c r="F938" s="24" t="str">
        <f t="shared" si="70"/>
        <v>2024-8</v>
      </c>
      <c r="AA938">
        <v>76442</v>
      </c>
      <c r="AB938" t="s">
        <v>275</v>
      </c>
      <c r="AD938">
        <f t="shared" si="68"/>
        <v>0</v>
      </c>
      <c r="AE938">
        <f t="shared" si="69"/>
        <v>0</v>
      </c>
      <c r="CG938" t="s">
        <v>14</v>
      </c>
      <c r="CH938" t="s">
        <v>275</v>
      </c>
      <c r="CI938">
        <v>76442</v>
      </c>
      <c r="CJ938" t="s">
        <v>507</v>
      </c>
    </row>
    <row r="939" spans="1:88" x14ac:dyDescent="0.25">
      <c r="A939" t="s">
        <v>75</v>
      </c>
      <c r="B939" t="s">
        <v>347</v>
      </c>
      <c r="C939" t="s">
        <v>444</v>
      </c>
      <c r="D939">
        <v>72691</v>
      </c>
      <c r="E939">
        <v>6</v>
      </c>
      <c r="F939" s="24" t="str">
        <f t="shared" si="70"/>
        <v>2024-8</v>
      </c>
      <c r="AA939">
        <v>72691</v>
      </c>
      <c r="AB939" t="s">
        <v>347</v>
      </c>
      <c r="AD939">
        <f t="shared" si="68"/>
        <v>0</v>
      </c>
      <c r="AE939">
        <f t="shared" si="69"/>
        <v>0</v>
      </c>
      <c r="CG939" t="s">
        <v>75</v>
      </c>
      <c r="CH939" t="s">
        <v>347</v>
      </c>
      <c r="CI939">
        <v>72691</v>
      </c>
      <c r="CJ939" t="s">
        <v>507</v>
      </c>
    </row>
    <row r="940" spans="1:88" x14ac:dyDescent="0.25">
      <c r="A940" t="s">
        <v>14</v>
      </c>
      <c r="B940" t="s">
        <v>12</v>
      </c>
      <c r="C940" t="s">
        <v>444</v>
      </c>
      <c r="D940">
        <v>88706</v>
      </c>
      <c r="E940">
        <v>7</v>
      </c>
      <c r="F940" s="24" t="str">
        <f t="shared" si="70"/>
        <v>2024-8</v>
      </c>
      <c r="AA940">
        <v>88706</v>
      </c>
      <c r="AB940" t="s">
        <v>12</v>
      </c>
      <c r="AD940">
        <f t="shared" si="68"/>
        <v>0</v>
      </c>
      <c r="AE940">
        <f t="shared" si="69"/>
        <v>0</v>
      </c>
      <c r="CG940" t="s">
        <v>14</v>
      </c>
      <c r="CH940" t="s">
        <v>12</v>
      </c>
      <c r="CI940">
        <v>88706</v>
      </c>
      <c r="CJ940" t="s">
        <v>507</v>
      </c>
    </row>
    <row r="941" spans="1:88" x14ac:dyDescent="0.25">
      <c r="A941" t="s">
        <v>14</v>
      </c>
      <c r="B941" t="s">
        <v>76</v>
      </c>
      <c r="C941" t="s">
        <v>444</v>
      </c>
      <c r="D941">
        <v>23347</v>
      </c>
      <c r="E941">
        <v>4</v>
      </c>
      <c r="F941" s="24" t="str">
        <f t="shared" si="70"/>
        <v>2024-8</v>
      </c>
      <c r="AA941">
        <v>23347</v>
      </c>
      <c r="AB941" t="s">
        <v>76</v>
      </c>
      <c r="AD941">
        <f t="shared" si="68"/>
        <v>0</v>
      </c>
      <c r="AE941">
        <f t="shared" si="69"/>
        <v>0</v>
      </c>
      <c r="CG941" t="s">
        <v>14</v>
      </c>
      <c r="CH941" t="s">
        <v>76</v>
      </c>
      <c r="CI941">
        <v>23347</v>
      </c>
      <c r="CJ941" t="s">
        <v>507</v>
      </c>
    </row>
    <row r="942" spans="1:88" x14ac:dyDescent="0.25">
      <c r="A942" t="s">
        <v>14</v>
      </c>
      <c r="B942" t="s">
        <v>11</v>
      </c>
      <c r="C942" t="s">
        <v>445</v>
      </c>
      <c r="D942">
        <v>55459</v>
      </c>
      <c r="E942">
        <v>8</v>
      </c>
      <c r="F942" s="24" t="str">
        <f t="shared" si="70"/>
        <v>2024-8</v>
      </c>
      <c r="AA942">
        <v>55459</v>
      </c>
      <c r="AB942" t="s">
        <v>11</v>
      </c>
      <c r="AD942">
        <f t="shared" si="68"/>
        <v>0</v>
      </c>
      <c r="AE942">
        <f t="shared" si="69"/>
        <v>0</v>
      </c>
      <c r="CG942" t="s">
        <v>14</v>
      </c>
      <c r="CH942" t="s">
        <v>11</v>
      </c>
      <c r="CI942">
        <v>55459</v>
      </c>
      <c r="CJ942" t="s">
        <v>507</v>
      </c>
    </row>
    <row r="943" spans="1:88" x14ac:dyDescent="0.25">
      <c r="A943" t="s">
        <v>14</v>
      </c>
      <c r="B943" t="s">
        <v>82</v>
      </c>
      <c r="C943" t="s">
        <v>445</v>
      </c>
      <c r="D943">
        <v>10807</v>
      </c>
      <c r="E943">
        <v>5</v>
      </c>
      <c r="F943" s="24" t="str">
        <f t="shared" si="70"/>
        <v>2024-8</v>
      </c>
      <c r="AA943">
        <v>10807</v>
      </c>
      <c r="AB943" t="s">
        <v>82</v>
      </c>
      <c r="AD943">
        <f t="shared" si="68"/>
        <v>0</v>
      </c>
      <c r="AE943">
        <f t="shared" si="69"/>
        <v>0</v>
      </c>
      <c r="CG943" t="s">
        <v>14</v>
      </c>
      <c r="CH943" t="s">
        <v>82</v>
      </c>
      <c r="CI943">
        <v>10807</v>
      </c>
      <c r="CJ943" t="s">
        <v>507</v>
      </c>
    </row>
    <row r="944" spans="1:88" x14ac:dyDescent="0.25">
      <c r="A944" t="s">
        <v>37</v>
      </c>
      <c r="B944" t="s">
        <v>52</v>
      </c>
      <c r="C944" t="s">
        <v>445</v>
      </c>
      <c r="D944">
        <v>26714</v>
      </c>
      <c r="E944">
        <v>5</v>
      </c>
      <c r="F944" s="24" t="str">
        <f t="shared" si="70"/>
        <v>2024-8</v>
      </c>
      <c r="AA944">
        <v>26714</v>
      </c>
      <c r="AB944" t="s">
        <v>52</v>
      </c>
      <c r="AD944">
        <f t="shared" si="68"/>
        <v>0</v>
      </c>
      <c r="AE944">
        <f t="shared" si="69"/>
        <v>0</v>
      </c>
      <c r="CG944" t="s">
        <v>37</v>
      </c>
      <c r="CH944" t="s">
        <v>52</v>
      </c>
      <c r="CI944">
        <v>26714</v>
      </c>
      <c r="CJ944" t="s">
        <v>507</v>
      </c>
    </row>
    <row r="945" spans="1:88" x14ac:dyDescent="0.25">
      <c r="A945" t="s">
        <v>10</v>
      </c>
      <c r="B945" t="s">
        <v>118</v>
      </c>
      <c r="C945" t="s">
        <v>445</v>
      </c>
      <c r="D945">
        <v>66463</v>
      </c>
      <c r="E945">
        <v>7</v>
      </c>
      <c r="F945" s="24" t="str">
        <f t="shared" si="70"/>
        <v>2024-8</v>
      </c>
      <c r="AA945">
        <v>66463</v>
      </c>
      <c r="AB945" t="s">
        <v>118</v>
      </c>
      <c r="AD945">
        <f t="shared" si="68"/>
        <v>0</v>
      </c>
      <c r="AE945">
        <f t="shared" si="69"/>
        <v>0</v>
      </c>
      <c r="CG945" t="s">
        <v>10</v>
      </c>
      <c r="CH945" t="s">
        <v>118</v>
      </c>
      <c r="CI945">
        <v>66463</v>
      </c>
      <c r="CJ945" t="s">
        <v>507</v>
      </c>
    </row>
    <row r="946" spans="1:88" x14ac:dyDescent="0.25">
      <c r="A946" t="s">
        <v>37</v>
      </c>
      <c r="B946" t="s">
        <v>91</v>
      </c>
      <c r="C946" t="s">
        <v>446</v>
      </c>
      <c r="D946">
        <v>82998</v>
      </c>
      <c r="E946">
        <v>6</v>
      </c>
      <c r="F946" s="24" t="str">
        <f t="shared" si="70"/>
        <v>2024-8</v>
      </c>
      <c r="AA946">
        <v>82998</v>
      </c>
      <c r="AB946" t="s">
        <v>91</v>
      </c>
      <c r="AD946">
        <f t="shared" si="68"/>
        <v>0</v>
      </c>
      <c r="AE946">
        <f t="shared" si="69"/>
        <v>0</v>
      </c>
      <c r="CG946" t="s">
        <v>37</v>
      </c>
      <c r="CH946" t="s">
        <v>91</v>
      </c>
      <c r="CI946">
        <v>82998</v>
      </c>
      <c r="CJ946" t="s">
        <v>507</v>
      </c>
    </row>
    <row r="947" spans="1:88" x14ac:dyDescent="0.25">
      <c r="A947" t="s">
        <v>14</v>
      </c>
      <c r="B947" t="s">
        <v>370</v>
      </c>
      <c r="C947" t="s">
        <v>446</v>
      </c>
      <c r="D947">
        <v>41692</v>
      </c>
      <c r="E947">
        <v>8</v>
      </c>
      <c r="F947" s="24" t="str">
        <f t="shared" si="70"/>
        <v>2024-8</v>
      </c>
      <c r="AA947">
        <v>41692</v>
      </c>
      <c r="AB947" t="s">
        <v>370</v>
      </c>
      <c r="AD947">
        <f t="shared" si="68"/>
        <v>0</v>
      </c>
      <c r="AE947">
        <f t="shared" si="69"/>
        <v>0</v>
      </c>
      <c r="CG947" t="s">
        <v>14</v>
      </c>
      <c r="CH947" t="s">
        <v>370</v>
      </c>
      <c r="CI947">
        <v>41692</v>
      </c>
      <c r="CJ947" t="s">
        <v>507</v>
      </c>
    </row>
    <row r="948" spans="1:88" x14ac:dyDescent="0.25">
      <c r="A948" t="s">
        <v>55</v>
      </c>
      <c r="B948" t="s">
        <v>109</v>
      </c>
      <c r="C948" t="s">
        <v>446</v>
      </c>
      <c r="D948">
        <v>30865</v>
      </c>
      <c r="E948">
        <v>8</v>
      </c>
      <c r="F948" s="24" t="str">
        <f t="shared" si="70"/>
        <v>2024-8</v>
      </c>
      <c r="AA948">
        <v>30865</v>
      </c>
      <c r="AB948" t="s">
        <v>109</v>
      </c>
      <c r="AD948">
        <f t="shared" si="68"/>
        <v>0</v>
      </c>
      <c r="AE948">
        <f t="shared" si="69"/>
        <v>0</v>
      </c>
      <c r="CG948" t="s">
        <v>55</v>
      </c>
      <c r="CH948" t="s">
        <v>109</v>
      </c>
      <c r="CI948">
        <v>30865</v>
      </c>
      <c r="CJ948" t="s">
        <v>507</v>
      </c>
    </row>
    <row r="949" spans="1:88" x14ac:dyDescent="0.25">
      <c r="A949" t="s">
        <v>14</v>
      </c>
      <c r="B949" t="s">
        <v>89</v>
      </c>
      <c r="C949" t="s">
        <v>446</v>
      </c>
      <c r="D949">
        <v>66001</v>
      </c>
      <c r="E949">
        <v>7</v>
      </c>
      <c r="F949" s="24" t="str">
        <f t="shared" si="70"/>
        <v>2024-8</v>
      </c>
      <c r="AA949">
        <v>66001</v>
      </c>
      <c r="AB949" t="s">
        <v>89</v>
      </c>
      <c r="AD949">
        <f t="shared" si="68"/>
        <v>0</v>
      </c>
      <c r="AE949">
        <f t="shared" si="69"/>
        <v>0</v>
      </c>
      <c r="CG949" t="s">
        <v>14</v>
      </c>
      <c r="CH949" t="s">
        <v>89</v>
      </c>
      <c r="CI949">
        <v>66001</v>
      </c>
      <c r="CJ949" t="s">
        <v>507</v>
      </c>
    </row>
    <row r="950" spans="1:88" x14ac:dyDescent="0.25">
      <c r="A950" t="s">
        <v>5</v>
      </c>
      <c r="B950" t="s">
        <v>87</v>
      </c>
      <c r="C950" t="s">
        <v>447</v>
      </c>
      <c r="D950">
        <v>36064</v>
      </c>
      <c r="E950">
        <v>3</v>
      </c>
      <c r="F950" s="24" t="str">
        <f t="shared" si="70"/>
        <v>2024-8</v>
      </c>
      <c r="AA950">
        <v>36064</v>
      </c>
      <c r="AB950" t="s">
        <v>87</v>
      </c>
      <c r="AD950">
        <f t="shared" si="68"/>
        <v>0</v>
      </c>
      <c r="AE950">
        <f t="shared" si="69"/>
        <v>0</v>
      </c>
      <c r="CG950" t="s">
        <v>5</v>
      </c>
      <c r="CH950" t="s">
        <v>87</v>
      </c>
      <c r="CI950">
        <v>36064</v>
      </c>
      <c r="CJ950" t="s">
        <v>507</v>
      </c>
    </row>
    <row r="951" spans="1:88" x14ac:dyDescent="0.25">
      <c r="A951" t="s">
        <v>10</v>
      </c>
      <c r="B951" t="s">
        <v>96</v>
      </c>
      <c r="C951" t="s">
        <v>447</v>
      </c>
      <c r="D951">
        <v>56994</v>
      </c>
      <c r="E951">
        <v>10</v>
      </c>
      <c r="F951" s="24" t="str">
        <f t="shared" si="70"/>
        <v>2024-8</v>
      </c>
      <c r="AA951">
        <v>56994</v>
      </c>
      <c r="AB951" t="s">
        <v>96</v>
      </c>
      <c r="AD951">
        <f t="shared" si="68"/>
        <v>0</v>
      </c>
      <c r="AE951">
        <f t="shared" si="69"/>
        <v>0</v>
      </c>
      <c r="CG951" t="s">
        <v>10</v>
      </c>
      <c r="CH951" t="s">
        <v>96</v>
      </c>
      <c r="CI951">
        <v>56994</v>
      </c>
      <c r="CJ951" t="s">
        <v>507</v>
      </c>
    </row>
    <row r="952" spans="1:88" x14ac:dyDescent="0.25">
      <c r="A952" t="s">
        <v>10</v>
      </c>
      <c r="B952" t="s">
        <v>119</v>
      </c>
      <c r="C952" t="s">
        <v>448</v>
      </c>
      <c r="D952">
        <v>91373</v>
      </c>
      <c r="E952">
        <v>7</v>
      </c>
      <c r="F952" s="24" t="str">
        <f t="shared" si="70"/>
        <v>2024-8</v>
      </c>
      <c r="AA952">
        <v>91373</v>
      </c>
      <c r="AB952" t="s">
        <v>119</v>
      </c>
      <c r="AD952">
        <f t="shared" si="68"/>
        <v>0</v>
      </c>
      <c r="AE952">
        <f t="shared" si="69"/>
        <v>0</v>
      </c>
      <c r="CG952" t="s">
        <v>10</v>
      </c>
      <c r="CH952" t="s">
        <v>119</v>
      </c>
      <c r="CI952">
        <v>91373</v>
      </c>
      <c r="CJ952" t="s">
        <v>507</v>
      </c>
    </row>
    <row r="953" spans="1:88" x14ac:dyDescent="0.25">
      <c r="A953" t="s">
        <v>16</v>
      </c>
      <c r="B953" t="s">
        <v>105</v>
      </c>
      <c r="C953" t="s">
        <v>448</v>
      </c>
      <c r="D953">
        <v>45369</v>
      </c>
      <c r="E953">
        <v>6</v>
      </c>
      <c r="F953" s="24" t="str">
        <f t="shared" si="70"/>
        <v>2024-8</v>
      </c>
      <c r="AA953">
        <v>45369</v>
      </c>
      <c r="AB953" t="s">
        <v>105</v>
      </c>
      <c r="AD953">
        <f t="shared" si="68"/>
        <v>0</v>
      </c>
      <c r="AE953">
        <f t="shared" si="69"/>
        <v>0</v>
      </c>
      <c r="CG953" t="s">
        <v>16</v>
      </c>
      <c r="CH953" t="s">
        <v>105</v>
      </c>
      <c r="CI953">
        <v>45369</v>
      </c>
      <c r="CJ953" t="s">
        <v>507</v>
      </c>
    </row>
    <row r="954" spans="1:88" x14ac:dyDescent="0.25">
      <c r="A954" t="s">
        <v>5</v>
      </c>
      <c r="B954" t="s">
        <v>70</v>
      </c>
      <c r="C954" t="s">
        <v>448</v>
      </c>
      <c r="D954">
        <v>18620</v>
      </c>
      <c r="E954">
        <v>7</v>
      </c>
      <c r="F954" s="24" t="str">
        <f t="shared" si="70"/>
        <v>2024-8</v>
      </c>
      <c r="AA954">
        <v>18620</v>
      </c>
      <c r="AB954" t="s">
        <v>70</v>
      </c>
      <c r="AD954">
        <f t="shared" si="68"/>
        <v>0</v>
      </c>
      <c r="AE954">
        <f t="shared" si="69"/>
        <v>0</v>
      </c>
      <c r="CG954" t="s">
        <v>5</v>
      </c>
      <c r="CH954" t="s">
        <v>70</v>
      </c>
      <c r="CI954">
        <v>18620</v>
      </c>
      <c r="CJ954" t="s">
        <v>507</v>
      </c>
    </row>
    <row r="955" spans="1:88" x14ac:dyDescent="0.25">
      <c r="A955" t="s">
        <v>16</v>
      </c>
      <c r="B955" t="s">
        <v>144</v>
      </c>
      <c r="C955" t="s">
        <v>448</v>
      </c>
      <c r="D955">
        <v>38710</v>
      </c>
      <c r="E955">
        <v>9</v>
      </c>
      <c r="F955" s="24" t="str">
        <f t="shared" si="70"/>
        <v>2024-8</v>
      </c>
      <c r="AA955">
        <v>38710</v>
      </c>
      <c r="AB955" t="s">
        <v>144</v>
      </c>
      <c r="AD955">
        <f t="shared" si="68"/>
        <v>0</v>
      </c>
      <c r="AE955">
        <f t="shared" si="69"/>
        <v>0</v>
      </c>
      <c r="CG955" t="s">
        <v>16</v>
      </c>
      <c r="CH955" t="s">
        <v>144</v>
      </c>
      <c r="CI955">
        <v>38710</v>
      </c>
      <c r="CJ955" t="s">
        <v>507</v>
      </c>
    </row>
    <row r="956" spans="1:88" x14ac:dyDescent="0.25">
      <c r="A956" t="s">
        <v>75</v>
      </c>
      <c r="B956" t="s">
        <v>87</v>
      </c>
      <c r="C956" t="s">
        <v>448</v>
      </c>
      <c r="D956">
        <v>85039</v>
      </c>
      <c r="E956">
        <v>8</v>
      </c>
      <c r="F956" s="24" t="str">
        <f t="shared" si="70"/>
        <v>2024-8</v>
      </c>
      <c r="AA956">
        <v>85039</v>
      </c>
      <c r="AB956" t="s">
        <v>87</v>
      </c>
      <c r="AD956">
        <f t="shared" si="68"/>
        <v>0</v>
      </c>
      <c r="AE956">
        <f t="shared" si="69"/>
        <v>0</v>
      </c>
      <c r="CG956" t="s">
        <v>75</v>
      </c>
      <c r="CH956" t="s">
        <v>87</v>
      </c>
      <c r="CI956">
        <v>85039</v>
      </c>
      <c r="CJ956" t="s">
        <v>507</v>
      </c>
    </row>
    <row r="957" spans="1:88" x14ac:dyDescent="0.25">
      <c r="A957" t="s">
        <v>10</v>
      </c>
      <c r="B957" t="s">
        <v>19</v>
      </c>
      <c r="C957" t="s">
        <v>448</v>
      </c>
      <c r="D957">
        <v>18741</v>
      </c>
      <c r="E957">
        <v>9</v>
      </c>
      <c r="F957" s="24" t="str">
        <f t="shared" si="70"/>
        <v>2024-8</v>
      </c>
      <c r="AA957">
        <v>18741</v>
      </c>
      <c r="AB957" t="s">
        <v>19</v>
      </c>
      <c r="AD957">
        <f t="shared" si="68"/>
        <v>0</v>
      </c>
      <c r="AE957">
        <f t="shared" si="69"/>
        <v>0</v>
      </c>
      <c r="CG957" t="s">
        <v>10</v>
      </c>
      <c r="CH957" t="s">
        <v>19</v>
      </c>
      <c r="CI957">
        <v>18741</v>
      </c>
      <c r="CJ957" t="s">
        <v>507</v>
      </c>
    </row>
    <row r="958" spans="1:88" x14ac:dyDescent="0.25">
      <c r="A958" t="s">
        <v>29</v>
      </c>
      <c r="B958" t="s">
        <v>242</v>
      </c>
      <c r="C958" t="s">
        <v>448</v>
      </c>
      <c r="D958">
        <v>84699</v>
      </c>
      <c r="E958">
        <v>9</v>
      </c>
      <c r="F958" s="24" t="str">
        <f t="shared" si="70"/>
        <v>2024-8</v>
      </c>
      <c r="AA958">
        <v>84699</v>
      </c>
      <c r="AB958" t="s">
        <v>242</v>
      </c>
      <c r="AD958">
        <f t="shared" si="68"/>
        <v>0</v>
      </c>
      <c r="AE958">
        <f t="shared" si="69"/>
        <v>0</v>
      </c>
      <c r="CG958" t="s">
        <v>29</v>
      </c>
      <c r="CH958" t="s">
        <v>242</v>
      </c>
      <c r="CI958">
        <v>84699</v>
      </c>
      <c r="CJ958" t="s">
        <v>507</v>
      </c>
    </row>
    <row r="959" spans="1:88" x14ac:dyDescent="0.25">
      <c r="A959" t="s">
        <v>37</v>
      </c>
      <c r="B959" t="s">
        <v>158</v>
      </c>
      <c r="C959" t="s">
        <v>448</v>
      </c>
      <c r="D959">
        <v>57734</v>
      </c>
      <c r="E959">
        <v>5</v>
      </c>
      <c r="F959" s="24" t="str">
        <f t="shared" si="70"/>
        <v>2024-8</v>
      </c>
      <c r="AA959">
        <v>57734</v>
      </c>
      <c r="AB959" t="s">
        <v>158</v>
      </c>
      <c r="AD959">
        <f t="shared" si="68"/>
        <v>0</v>
      </c>
      <c r="AE959">
        <f t="shared" si="69"/>
        <v>0</v>
      </c>
      <c r="CG959" t="s">
        <v>37</v>
      </c>
      <c r="CH959" t="s">
        <v>158</v>
      </c>
      <c r="CI959">
        <v>57734</v>
      </c>
      <c r="CJ959" t="s">
        <v>507</v>
      </c>
    </row>
    <row r="960" spans="1:88" x14ac:dyDescent="0.25">
      <c r="A960" t="s">
        <v>21</v>
      </c>
      <c r="B960" t="s">
        <v>155</v>
      </c>
      <c r="C960" t="s">
        <v>448</v>
      </c>
      <c r="D960">
        <v>25753</v>
      </c>
      <c r="E960">
        <v>3</v>
      </c>
      <c r="F960" s="24" t="str">
        <f t="shared" si="70"/>
        <v>2024-8</v>
      </c>
      <c r="AA960">
        <v>25753</v>
      </c>
      <c r="AB960" t="s">
        <v>155</v>
      </c>
      <c r="AD960">
        <f t="shared" si="68"/>
        <v>0</v>
      </c>
      <c r="AE960">
        <f t="shared" si="69"/>
        <v>0</v>
      </c>
      <c r="CG960" t="s">
        <v>21</v>
      </c>
      <c r="CH960" t="s">
        <v>155</v>
      </c>
      <c r="CI960">
        <v>25753</v>
      </c>
      <c r="CJ960" t="s">
        <v>507</v>
      </c>
    </row>
    <row r="961" spans="1:88" x14ac:dyDescent="0.25">
      <c r="A961" t="s">
        <v>10</v>
      </c>
      <c r="B961" t="s">
        <v>81</v>
      </c>
      <c r="C961" t="s">
        <v>448</v>
      </c>
      <c r="D961">
        <v>58404</v>
      </c>
      <c r="E961">
        <v>7</v>
      </c>
      <c r="F961" s="24" t="str">
        <f t="shared" si="70"/>
        <v>2024-8</v>
      </c>
      <c r="AA961">
        <v>58404</v>
      </c>
      <c r="AB961" t="s">
        <v>81</v>
      </c>
      <c r="AD961">
        <f t="shared" si="68"/>
        <v>0</v>
      </c>
      <c r="AE961">
        <f t="shared" si="69"/>
        <v>0</v>
      </c>
      <c r="CG961" t="s">
        <v>10</v>
      </c>
      <c r="CH961" t="s">
        <v>81</v>
      </c>
      <c r="CI961">
        <v>58404</v>
      </c>
      <c r="CJ961" t="s">
        <v>507</v>
      </c>
    </row>
    <row r="962" spans="1:88" x14ac:dyDescent="0.25">
      <c r="A962" t="s">
        <v>5</v>
      </c>
      <c r="B962" t="s">
        <v>86</v>
      </c>
      <c r="C962" t="s">
        <v>448</v>
      </c>
      <c r="D962">
        <v>38383</v>
      </c>
      <c r="E962">
        <v>6</v>
      </c>
      <c r="F962" s="24" t="str">
        <f t="shared" si="70"/>
        <v>2024-8</v>
      </c>
      <c r="AA962">
        <v>38383</v>
      </c>
      <c r="AB962" t="s">
        <v>86</v>
      </c>
      <c r="AD962">
        <f t="shared" ref="AD962:AD1025" si="71">COUNTIF(AB:AB,AC962)</f>
        <v>0</v>
      </c>
      <c r="AE962">
        <f t="shared" ref="AE962:AE1001" si="72">SUMIF(AB:AB,AC962,AA:AA)</f>
        <v>0</v>
      </c>
      <c r="CG962" t="s">
        <v>5</v>
      </c>
      <c r="CH962" t="s">
        <v>86</v>
      </c>
      <c r="CI962">
        <v>38383</v>
      </c>
      <c r="CJ962" t="s">
        <v>507</v>
      </c>
    </row>
    <row r="963" spans="1:88" x14ac:dyDescent="0.25">
      <c r="A963" t="s">
        <v>29</v>
      </c>
      <c r="B963" t="s">
        <v>18</v>
      </c>
      <c r="C963" t="s">
        <v>449</v>
      </c>
      <c r="D963">
        <v>56990</v>
      </c>
      <c r="E963">
        <v>6</v>
      </c>
      <c r="F963" s="24" t="str">
        <f t="shared" ref="F963:F1001" si="73">YEAR(C963)&amp;"-"&amp;MONTH(C963)</f>
        <v>2024-8</v>
      </c>
      <c r="AA963">
        <v>56990</v>
      </c>
      <c r="AB963" t="s">
        <v>18</v>
      </c>
      <c r="AD963">
        <f t="shared" si="71"/>
        <v>0</v>
      </c>
      <c r="AE963">
        <f t="shared" si="72"/>
        <v>0</v>
      </c>
      <c r="CG963" t="s">
        <v>29</v>
      </c>
      <c r="CH963" t="s">
        <v>18</v>
      </c>
      <c r="CI963">
        <v>56990</v>
      </c>
      <c r="CJ963" t="s">
        <v>507</v>
      </c>
    </row>
    <row r="964" spans="1:88" x14ac:dyDescent="0.25">
      <c r="A964" t="s">
        <v>37</v>
      </c>
      <c r="B964" t="s">
        <v>95</v>
      </c>
      <c r="C964" t="s">
        <v>450</v>
      </c>
      <c r="D964">
        <v>21871</v>
      </c>
      <c r="E964">
        <v>10</v>
      </c>
      <c r="F964" s="24" t="str">
        <f t="shared" si="73"/>
        <v>2024-8</v>
      </c>
      <c r="AA964">
        <v>21871</v>
      </c>
      <c r="AB964" t="s">
        <v>95</v>
      </c>
      <c r="AD964">
        <f t="shared" si="71"/>
        <v>0</v>
      </c>
      <c r="AE964">
        <f t="shared" si="72"/>
        <v>0</v>
      </c>
      <c r="CG964" t="s">
        <v>37</v>
      </c>
      <c r="CH964" t="s">
        <v>95</v>
      </c>
      <c r="CI964">
        <v>21871</v>
      </c>
      <c r="CJ964" t="s">
        <v>507</v>
      </c>
    </row>
    <row r="965" spans="1:88" x14ac:dyDescent="0.25">
      <c r="A965" t="s">
        <v>35</v>
      </c>
      <c r="B965" t="s">
        <v>49</v>
      </c>
      <c r="C965" t="s">
        <v>450</v>
      </c>
      <c r="D965">
        <v>86870</v>
      </c>
      <c r="E965">
        <v>3</v>
      </c>
      <c r="F965" s="24" t="str">
        <f t="shared" si="73"/>
        <v>2024-8</v>
      </c>
      <c r="AA965">
        <v>86870</v>
      </c>
      <c r="AB965" t="s">
        <v>49</v>
      </c>
      <c r="AD965">
        <f t="shared" si="71"/>
        <v>0</v>
      </c>
      <c r="AE965">
        <f t="shared" si="72"/>
        <v>0</v>
      </c>
      <c r="CG965" t="s">
        <v>35</v>
      </c>
      <c r="CH965" t="s">
        <v>49</v>
      </c>
      <c r="CI965">
        <v>86870</v>
      </c>
      <c r="CJ965" t="s">
        <v>507</v>
      </c>
    </row>
    <row r="966" spans="1:88" x14ac:dyDescent="0.25">
      <c r="A966" t="s">
        <v>29</v>
      </c>
      <c r="B966" t="s">
        <v>131</v>
      </c>
      <c r="C966" t="s">
        <v>450</v>
      </c>
      <c r="D966">
        <v>10279</v>
      </c>
      <c r="E966">
        <v>6</v>
      </c>
      <c r="F966" s="24" t="str">
        <f t="shared" si="73"/>
        <v>2024-8</v>
      </c>
      <c r="AA966">
        <v>10279</v>
      </c>
      <c r="AB966" t="s">
        <v>131</v>
      </c>
      <c r="AD966">
        <f t="shared" si="71"/>
        <v>0</v>
      </c>
      <c r="AE966">
        <f t="shared" si="72"/>
        <v>0</v>
      </c>
      <c r="CG966" t="s">
        <v>29</v>
      </c>
      <c r="CH966" t="s">
        <v>131</v>
      </c>
      <c r="CI966">
        <v>10279</v>
      </c>
      <c r="CJ966" t="s">
        <v>507</v>
      </c>
    </row>
    <row r="967" spans="1:88" x14ac:dyDescent="0.25">
      <c r="A967" t="s">
        <v>53</v>
      </c>
      <c r="B967" t="s">
        <v>105</v>
      </c>
      <c r="C967" t="s">
        <v>451</v>
      </c>
      <c r="D967">
        <v>10897</v>
      </c>
      <c r="E967">
        <v>9</v>
      </c>
      <c r="F967" s="24" t="str">
        <f t="shared" si="73"/>
        <v>2024-8</v>
      </c>
      <c r="AA967">
        <v>10897</v>
      </c>
      <c r="AB967" t="s">
        <v>105</v>
      </c>
      <c r="AD967">
        <f t="shared" si="71"/>
        <v>0</v>
      </c>
      <c r="AE967">
        <f t="shared" si="72"/>
        <v>0</v>
      </c>
      <c r="CG967" t="s">
        <v>53</v>
      </c>
      <c r="CH967" t="s">
        <v>105</v>
      </c>
      <c r="CI967">
        <v>10897</v>
      </c>
      <c r="CJ967" t="s">
        <v>507</v>
      </c>
    </row>
    <row r="968" spans="1:88" x14ac:dyDescent="0.25">
      <c r="A968" t="s">
        <v>10</v>
      </c>
      <c r="B968" t="s">
        <v>82</v>
      </c>
      <c r="C968" t="s">
        <v>451</v>
      </c>
      <c r="D968">
        <v>41650</v>
      </c>
      <c r="E968">
        <v>5</v>
      </c>
      <c r="F968" s="24" t="str">
        <f t="shared" si="73"/>
        <v>2024-8</v>
      </c>
      <c r="AA968">
        <v>41650</v>
      </c>
      <c r="AB968" t="s">
        <v>82</v>
      </c>
      <c r="AD968">
        <f t="shared" si="71"/>
        <v>0</v>
      </c>
      <c r="AE968">
        <f t="shared" si="72"/>
        <v>0</v>
      </c>
      <c r="CG968" t="s">
        <v>10</v>
      </c>
      <c r="CH968" t="s">
        <v>82</v>
      </c>
      <c r="CI968">
        <v>41650</v>
      </c>
      <c r="CJ968" t="s">
        <v>507</v>
      </c>
    </row>
    <row r="969" spans="1:88" x14ac:dyDescent="0.25">
      <c r="A969" t="s">
        <v>5</v>
      </c>
      <c r="B969" t="s">
        <v>112</v>
      </c>
      <c r="C969" t="s">
        <v>452</v>
      </c>
      <c r="D969">
        <v>98900</v>
      </c>
      <c r="E969">
        <v>8</v>
      </c>
      <c r="F969" s="24" t="str">
        <f t="shared" si="73"/>
        <v>2024-8</v>
      </c>
      <c r="AA969">
        <v>98900</v>
      </c>
      <c r="AB969" t="s">
        <v>112</v>
      </c>
      <c r="AD969">
        <f t="shared" si="71"/>
        <v>0</v>
      </c>
      <c r="AE969">
        <f t="shared" si="72"/>
        <v>0</v>
      </c>
      <c r="CG969" t="s">
        <v>5</v>
      </c>
      <c r="CH969" t="s">
        <v>112</v>
      </c>
      <c r="CI969">
        <v>98900</v>
      </c>
      <c r="CJ969" t="s">
        <v>507</v>
      </c>
    </row>
    <row r="970" spans="1:88" x14ac:dyDescent="0.25">
      <c r="A970" t="s">
        <v>75</v>
      </c>
      <c r="B970" t="s">
        <v>41</v>
      </c>
      <c r="C970" t="s">
        <v>453</v>
      </c>
      <c r="D970">
        <v>82944</v>
      </c>
      <c r="E970">
        <v>6</v>
      </c>
      <c r="F970" s="24" t="str">
        <f t="shared" si="73"/>
        <v>2024-8</v>
      </c>
      <c r="AA970">
        <v>82944</v>
      </c>
      <c r="AB970" t="s">
        <v>41</v>
      </c>
      <c r="AD970">
        <f t="shared" si="71"/>
        <v>0</v>
      </c>
      <c r="AE970">
        <f t="shared" si="72"/>
        <v>0</v>
      </c>
      <c r="CG970" t="s">
        <v>75</v>
      </c>
      <c r="CH970" t="s">
        <v>41</v>
      </c>
      <c r="CI970">
        <v>82944</v>
      </c>
      <c r="CJ970" t="s">
        <v>507</v>
      </c>
    </row>
    <row r="971" spans="1:88" x14ac:dyDescent="0.25">
      <c r="A971" t="s">
        <v>5</v>
      </c>
      <c r="B971" t="s">
        <v>202</v>
      </c>
      <c r="C971" t="s">
        <v>453</v>
      </c>
      <c r="D971">
        <v>88638</v>
      </c>
      <c r="E971">
        <v>3</v>
      </c>
      <c r="F971" s="24" t="str">
        <f t="shared" si="73"/>
        <v>2024-8</v>
      </c>
      <c r="AA971">
        <v>88638</v>
      </c>
      <c r="AB971" t="s">
        <v>202</v>
      </c>
      <c r="AD971">
        <f t="shared" si="71"/>
        <v>0</v>
      </c>
      <c r="AE971">
        <f t="shared" si="72"/>
        <v>0</v>
      </c>
      <c r="CG971" t="s">
        <v>5</v>
      </c>
      <c r="CH971" t="s">
        <v>202</v>
      </c>
      <c r="CI971">
        <v>88638</v>
      </c>
      <c r="CJ971" t="s">
        <v>507</v>
      </c>
    </row>
    <row r="972" spans="1:88" x14ac:dyDescent="0.25">
      <c r="A972" t="s">
        <v>5</v>
      </c>
      <c r="B972" t="s">
        <v>92</v>
      </c>
      <c r="C972" t="s">
        <v>453</v>
      </c>
      <c r="D972">
        <v>40860</v>
      </c>
      <c r="E972">
        <v>8</v>
      </c>
      <c r="F972" s="24" t="str">
        <f t="shared" si="73"/>
        <v>2024-8</v>
      </c>
      <c r="AA972">
        <v>40860</v>
      </c>
      <c r="AB972" t="s">
        <v>92</v>
      </c>
      <c r="AD972">
        <f t="shared" si="71"/>
        <v>0</v>
      </c>
      <c r="AE972">
        <f t="shared" si="72"/>
        <v>0</v>
      </c>
      <c r="CG972" t="s">
        <v>5</v>
      </c>
      <c r="CH972" t="s">
        <v>92</v>
      </c>
      <c r="CI972">
        <v>40860</v>
      </c>
      <c r="CJ972" t="s">
        <v>507</v>
      </c>
    </row>
    <row r="973" spans="1:88" x14ac:dyDescent="0.25">
      <c r="A973" t="s">
        <v>21</v>
      </c>
      <c r="B973" t="s">
        <v>159</v>
      </c>
      <c r="C973" t="s">
        <v>453</v>
      </c>
      <c r="D973">
        <v>96875</v>
      </c>
      <c r="E973">
        <v>7</v>
      </c>
      <c r="F973" s="24" t="str">
        <f t="shared" si="73"/>
        <v>2024-8</v>
      </c>
      <c r="AA973">
        <v>96875</v>
      </c>
      <c r="AB973" t="s">
        <v>159</v>
      </c>
      <c r="AD973">
        <f t="shared" si="71"/>
        <v>0</v>
      </c>
      <c r="AE973">
        <f t="shared" si="72"/>
        <v>0</v>
      </c>
      <c r="CG973" t="s">
        <v>21</v>
      </c>
      <c r="CH973" t="s">
        <v>159</v>
      </c>
      <c r="CI973">
        <v>96875</v>
      </c>
      <c r="CJ973" t="s">
        <v>507</v>
      </c>
    </row>
    <row r="974" spans="1:88" x14ac:dyDescent="0.25">
      <c r="A974" t="s">
        <v>5</v>
      </c>
      <c r="B974" t="s">
        <v>131</v>
      </c>
      <c r="C974" t="s">
        <v>453</v>
      </c>
      <c r="D974">
        <v>32864</v>
      </c>
      <c r="E974">
        <v>6</v>
      </c>
      <c r="F974" s="24" t="str">
        <f t="shared" si="73"/>
        <v>2024-8</v>
      </c>
      <c r="AA974">
        <v>32864</v>
      </c>
      <c r="AB974" t="s">
        <v>131</v>
      </c>
      <c r="AD974">
        <f t="shared" si="71"/>
        <v>0</v>
      </c>
      <c r="AE974">
        <f t="shared" si="72"/>
        <v>0</v>
      </c>
      <c r="CG974" t="s">
        <v>5</v>
      </c>
      <c r="CH974" t="s">
        <v>131</v>
      </c>
      <c r="CI974">
        <v>32864</v>
      </c>
      <c r="CJ974" t="s">
        <v>507</v>
      </c>
    </row>
    <row r="975" spans="1:88" x14ac:dyDescent="0.25">
      <c r="A975" t="s">
        <v>5</v>
      </c>
      <c r="B975" t="s">
        <v>161</v>
      </c>
      <c r="C975" t="s">
        <v>453</v>
      </c>
      <c r="D975">
        <v>27702</v>
      </c>
      <c r="E975">
        <v>2</v>
      </c>
      <c r="F975" s="24" t="str">
        <f t="shared" si="73"/>
        <v>2024-8</v>
      </c>
      <c r="AA975">
        <v>27702</v>
      </c>
      <c r="AB975" t="s">
        <v>161</v>
      </c>
      <c r="AD975">
        <f t="shared" si="71"/>
        <v>0</v>
      </c>
      <c r="AE975">
        <f t="shared" si="72"/>
        <v>0</v>
      </c>
      <c r="CG975" t="s">
        <v>5</v>
      </c>
      <c r="CH975" t="s">
        <v>161</v>
      </c>
      <c r="CI975">
        <v>27702</v>
      </c>
      <c r="CJ975" t="s">
        <v>507</v>
      </c>
    </row>
    <row r="976" spans="1:88" x14ac:dyDescent="0.25">
      <c r="A976" t="s">
        <v>10</v>
      </c>
      <c r="B976" t="s">
        <v>108</v>
      </c>
      <c r="C976" t="s">
        <v>454</v>
      </c>
      <c r="D976">
        <v>59732</v>
      </c>
      <c r="E976">
        <v>4</v>
      </c>
      <c r="F976" s="24" t="str">
        <f t="shared" si="73"/>
        <v>2024-8</v>
      </c>
      <c r="AA976">
        <v>59732</v>
      </c>
      <c r="AB976" t="s">
        <v>108</v>
      </c>
      <c r="AD976">
        <f t="shared" si="71"/>
        <v>0</v>
      </c>
      <c r="AE976">
        <f t="shared" si="72"/>
        <v>0</v>
      </c>
      <c r="CG976" t="s">
        <v>10</v>
      </c>
      <c r="CH976" t="s">
        <v>108</v>
      </c>
      <c r="CI976">
        <v>59732</v>
      </c>
      <c r="CJ976" t="s">
        <v>507</v>
      </c>
    </row>
    <row r="977" spans="1:88" x14ac:dyDescent="0.25">
      <c r="A977" t="s">
        <v>21</v>
      </c>
      <c r="B977" t="s">
        <v>48</v>
      </c>
      <c r="C977" t="s">
        <v>454</v>
      </c>
      <c r="D977">
        <v>14028</v>
      </c>
      <c r="E977">
        <v>5</v>
      </c>
      <c r="F977" s="24" t="str">
        <f t="shared" si="73"/>
        <v>2024-8</v>
      </c>
      <c r="AA977">
        <v>14028</v>
      </c>
      <c r="AB977" t="s">
        <v>48</v>
      </c>
      <c r="AD977">
        <f t="shared" si="71"/>
        <v>0</v>
      </c>
      <c r="AE977">
        <f t="shared" si="72"/>
        <v>0</v>
      </c>
      <c r="CG977" t="s">
        <v>21</v>
      </c>
      <c r="CH977" t="s">
        <v>48</v>
      </c>
      <c r="CI977">
        <v>14028</v>
      </c>
      <c r="CJ977" t="s">
        <v>507</v>
      </c>
    </row>
    <row r="978" spans="1:88" x14ac:dyDescent="0.25">
      <c r="A978" t="s">
        <v>14</v>
      </c>
      <c r="B978" t="s">
        <v>152</v>
      </c>
      <c r="C978" t="s">
        <v>454</v>
      </c>
      <c r="D978">
        <v>47189</v>
      </c>
      <c r="E978">
        <v>4</v>
      </c>
      <c r="F978" s="24" t="str">
        <f t="shared" si="73"/>
        <v>2024-8</v>
      </c>
      <c r="AA978">
        <v>47189</v>
      </c>
      <c r="AB978" t="s">
        <v>152</v>
      </c>
      <c r="AD978">
        <f t="shared" si="71"/>
        <v>0</v>
      </c>
      <c r="AE978">
        <f t="shared" si="72"/>
        <v>0</v>
      </c>
      <c r="CG978" t="s">
        <v>14</v>
      </c>
      <c r="CH978" t="s">
        <v>152</v>
      </c>
      <c r="CI978">
        <v>47189</v>
      </c>
      <c r="CJ978" t="s">
        <v>507</v>
      </c>
    </row>
    <row r="979" spans="1:88" x14ac:dyDescent="0.25">
      <c r="A979" t="s">
        <v>21</v>
      </c>
      <c r="B979" t="s">
        <v>9</v>
      </c>
      <c r="C979" t="s">
        <v>455</v>
      </c>
      <c r="D979">
        <v>82562</v>
      </c>
      <c r="E979">
        <v>7</v>
      </c>
      <c r="F979" s="24" t="str">
        <f t="shared" si="73"/>
        <v>2024-8</v>
      </c>
      <c r="AA979">
        <v>82562</v>
      </c>
      <c r="AB979" t="s">
        <v>9</v>
      </c>
      <c r="AD979">
        <f t="shared" si="71"/>
        <v>0</v>
      </c>
      <c r="AE979">
        <f t="shared" si="72"/>
        <v>0</v>
      </c>
      <c r="CG979" t="s">
        <v>21</v>
      </c>
      <c r="CH979" t="s">
        <v>9</v>
      </c>
      <c r="CI979">
        <v>82562</v>
      </c>
      <c r="CJ979" t="s">
        <v>507</v>
      </c>
    </row>
    <row r="980" spans="1:88" x14ac:dyDescent="0.25">
      <c r="A980" t="s">
        <v>5</v>
      </c>
      <c r="B980" t="s">
        <v>297</v>
      </c>
      <c r="C980" t="s">
        <v>455</v>
      </c>
      <c r="D980">
        <v>82619</v>
      </c>
      <c r="E980">
        <v>9</v>
      </c>
      <c r="F980" s="24" t="str">
        <f t="shared" si="73"/>
        <v>2024-8</v>
      </c>
      <c r="AA980">
        <v>82619</v>
      </c>
      <c r="AB980" t="s">
        <v>297</v>
      </c>
      <c r="AD980">
        <f t="shared" si="71"/>
        <v>0</v>
      </c>
      <c r="AE980">
        <f t="shared" si="72"/>
        <v>0</v>
      </c>
      <c r="CG980" t="s">
        <v>5</v>
      </c>
      <c r="CH980" t="s">
        <v>297</v>
      </c>
      <c r="CI980">
        <v>82619</v>
      </c>
      <c r="CJ980" t="s">
        <v>507</v>
      </c>
    </row>
    <row r="981" spans="1:88" x14ac:dyDescent="0.25">
      <c r="A981" t="s">
        <v>37</v>
      </c>
      <c r="B981" t="s">
        <v>51</v>
      </c>
      <c r="C981" t="s">
        <v>455</v>
      </c>
      <c r="D981">
        <v>31174</v>
      </c>
      <c r="E981">
        <v>9</v>
      </c>
      <c r="F981" s="24" t="str">
        <f t="shared" si="73"/>
        <v>2024-8</v>
      </c>
      <c r="AA981">
        <v>31174</v>
      </c>
      <c r="AB981" t="s">
        <v>51</v>
      </c>
      <c r="AD981">
        <f t="shared" si="71"/>
        <v>0</v>
      </c>
      <c r="AE981">
        <f t="shared" si="72"/>
        <v>0</v>
      </c>
      <c r="CG981" t="s">
        <v>37</v>
      </c>
      <c r="CH981" t="s">
        <v>51</v>
      </c>
      <c r="CI981">
        <v>31174</v>
      </c>
      <c r="CJ981" t="s">
        <v>507</v>
      </c>
    </row>
    <row r="982" spans="1:88" x14ac:dyDescent="0.25">
      <c r="A982" t="s">
        <v>55</v>
      </c>
      <c r="B982" t="s">
        <v>9</v>
      </c>
      <c r="C982" t="s">
        <v>455</v>
      </c>
      <c r="D982">
        <v>17551</v>
      </c>
      <c r="E982">
        <v>6</v>
      </c>
      <c r="F982" s="24" t="str">
        <f t="shared" si="73"/>
        <v>2024-8</v>
      </c>
      <c r="AA982">
        <v>17551</v>
      </c>
      <c r="AB982" t="s">
        <v>9</v>
      </c>
      <c r="AD982">
        <f t="shared" si="71"/>
        <v>0</v>
      </c>
      <c r="AE982">
        <f t="shared" si="72"/>
        <v>0</v>
      </c>
      <c r="CG982" t="s">
        <v>55</v>
      </c>
      <c r="CH982" t="s">
        <v>9</v>
      </c>
      <c r="CI982">
        <v>17551</v>
      </c>
      <c r="CJ982" t="s">
        <v>507</v>
      </c>
    </row>
    <row r="983" spans="1:88" x14ac:dyDescent="0.25">
      <c r="A983" t="s">
        <v>16</v>
      </c>
      <c r="B983" t="s">
        <v>152</v>
      </c>
      <c r="C983" t="s">
        <v>456</v>
      </c>
      <c r="D983">
        <v>26230</v>
      </c>
      <c r="E983">
        <v>6</v>
      </c>
      <c r="F983" s="24" t="str">
        <f t="shared" si="73"/>
        <v>2024-8</v>
      </c>
      <c r="AA983">
        <v>26230</v>
      </c>
      <c r="AB983" t="s">
        <v>152</v>
      </c>
      <c r="AD983">
        <f t="shared" si="71"/>
        <v>0</v>
      </c>
      <c r="AE983">
        <f t="shared" si="72"/>
        <v>0</v>
      </c>
      <c r="CG983" t="s">
        <v>16</v>
      </c>
      <c r="CH983" t="s">
        <v>152</v>
      </c>
      <c r="CI983">
        <v>26230</v>
      </c>
      <c r="CJ983" t="s">
        <v>507</v>
      </c>
    </row>
    <row r="984" spans="1:88" x14ac:dyDescent="0.25">
      <c r="A984" t="s">
        <v>37</v>
      </c>
      <c r="B984" t="s">
        <v>135</v>
      </c>
      <c r="C984" t="s">
        <v>456</v>
      </c>
      <c r="D984">
        <v>11848</v>
      </c>
      <c r="E984">
        <v>6</v>
      </c>
      <c r="F984" s="24" t="str">
        <f t="shared" si="73"/>
        <v>2024-8</v>
      </c>
      <c r="AA984">
        <v>11848</v>
      </c>
      <c r="AB984" t="s">
        <v>135</v>
      </c>
      <c r="AD984">
        <f t="shared" si="71"/>
        <v>0</v>
      </c>
      <c r="AE984">
        <f t="shared" si="72"/>
        <v>0</v>
      </c>
      <c r="CG984" t="s">
        <v>37</v>
      </c>
      <c r="CH984" t="s">
        <v>135</v>
      </c>
      <c r="CI984">
        <v>11848</v>
      </c>
      <c r="CJ984" t="s">
        <v>507</v>
      </c>
    </row>
    <row r="985" spans="1:88" x14ac:dyDescent="0.25">
      <c r="A985" t="s">
        <v>10</v>
      </c>
      <c r="B985" t="s">
        <v>119</v>
      </c>
      <c r="C985" t="s">
        <v>457</v>
      </c>
      <c r="D985">
        <v>97648</v>
      </c>
      <c r="E985">
        <v>1</v>
      </c>
      <c r="F985" s="24" t="str">
        <f t="shared" si="73"/>
        <v>2024-8</v>
      </c>
      <c r="AA985">
        <v>97648</v>
      </c>
      <c r="AB985" t="s">
        <v>119</v>
      </c>
      <c r="AD985">
        <f t="shared" si="71"/>
        <v>0</v>
      </c>
      <c r="AE985">
        <f t="shared" si="72"/>
        <v>0</v>
      </c>
      <c r="CG985" t="s">
        <v>10</v>
      </c>
      <c r="CH985" t="s">
        <v>119</v>
      </c>
      <c r="CI985">
        <v>97648</v>
      </c>
      <c r="CJ985" t="s">
        <v>507</v>
      </c>
    </row>
    <row r="986" spans="1:88" x14ac:dyDescent="0.25">
      <c r="A986" t="s">
        <v>8</v>
      </c>
      <c r="B986" t="s">
        <v>194</v>
      </c>
      <c r="C986" t="s">
        <v>457</v>
      </c>
      <c r="D986">
        <v>19038</v>
      </c>
      <c r="E986">
        <v>4</v>
      </c>
      <c r="F986" s="24" t="str">
        <f t="shared" si="73"/>
        <v>2024-8</v>
      </c>
      <c r="AA986">
        <v>19038</v>
      </c>
      <c r="AB986" t="s">
        <v>194</v>
      </c>
      <c r="AD986">
        <f t="shared" si="71"/>
        <v>0</v>
      </c>
      <c r="AE986">
        <f t="shared" si="72"/>
        <v>0</v>
      </c>
      <c r="CG986" t="s">
        <v>8</v>
      </c>
      <c r="CH986" t="s">
        <v>194</v>
      </c>
      <c r="CI986">
        <v>19038</v>
      </c>
      <c r="CJ986" t="s">
        <v>507</v>
      </c>
    </row>
    <row r="987" spans="1:88" x14ac:dyDescent="0.25">
      <c r="A987" t="s">
        <v>37</v>
      </c>
      <c r="B987" t="s">
        <v>19</v>
      </c>
      <c r="C987" t="s">
        <v>457</v>
      </c>
      <c r="D987">
        <v>99899</v>
      </c>
      <c r="E987">
        <v>7</v>
      </c>
      <c r="F987" s="24" t="str">
        <f t="shared" si="73"/>
        <v>2024-8</v>
      </c>
      <c r="AA987">
        <v>99899</v>
      </c>
      <c r="AB987" t="s">
        <v>19</v>
      </c>
      <c r="AD987">
        <f t="shared" si="71"/>
        <v>0</v>
      </c>
      <c r="AE987">
        <f t="shared" si="72"/>
        <v>0</v>
      </c>
      <c r="CG987" t="s">
        <v>37</v>
      </c>
      <c r="CH987" t="s">
        <v>19</v>
      </c>
      <c r="CI987">
        <v>99899</v>
      </c>
      <c r="CJ987" t="s">
        <v>507</v>
      </c>
    </row>
    <row r="988" spans="1:88" x14ac:dyDescent="0.25">
      <c r="A988" t="s">
        <v>8</v>
      </c>
      <c r="B988" t="s">
        <v>137</v>
      </c>
      <c r="C988" t="s">
        <v>457</v>
      </c>
      <c r="D988">
        <v>75918</v>
      </c>
      <c r="E988">
        <v>8</v>
      </c>
      <c r="F988" s="24" t="str">
        <f t="shared" si="73"/>
        <v>2024-8</v>
      </c>
      <c r="AA988">
        <v>75918</v>
      </c>
      <c r="AB988" t="s">
        <v>137</v>
      </c>
      <c r="AD988">
        <f t="shared" si="71"/>
        <v>0</v>
      </c>
      <c r="AE988">
        <f t="shared" si="72"/>
        <v>0</v>
      </c>
      <c r="CG988" t="s">
        <v>8</v>
      </c>
      <c r="CH988" t="s">
        <v>137</v>
      </c>
      <c r="CI988">
        <v>75918</v>
      </c>
      <c r="CJ988" t="s">
        <v>507</v>
      </c>
    </row>
    <row r="989" spans="1:88" x14ac:dyDescent="0.25">
      <c r="A989" t="s">
        <v>75</v>
      </c>
      <c r="B989" t="s">
        <v>166</v>
      </c>
      <c r="C989" t="s">
        <v>457</v>
      </c>
      <c r="D989">
        <v>68672</v>
      </c>
      <c r="E989">
        <v>9</v>
      </c>
      <c r="F989" s="24" t="str">
        <f t="shared" si="73"/>
        <v>2024-8</v>
      </c>
      <c r="AA989">
        <v>68672</v>
      </c>
      <c r="AB989" t="s">
        <v>166</v>
      </c>
      <c r="AD989">
        <f t="shared" si="71"/>
        <v>0</v>
      </c>
      <c r="AE989">
        <f t="shared" si="72"/>
        <v>0</v>
      </c>
      <c r="CG989" t="s">
        <v>75</v>
      </c>
      <c r="CH989" t="s">
        <v>166</v>
      </c>
      <c r="CI989">
        <v>68672</v>
      </c>
      <c r="CJ989" t="s">
        <v>507</v>
      </c>
    </row>
    <row r="990" spans="1:88" x14ac:dyDescent="0.25">
      <c r="A990" t="s">
        <v>75</v>
      </c>
      <c r="B990" t="s">
        <v>66</v>
      </c>
      <c r="C990" t="s">
        <v>457</v>
      </c>
      <c r="D990">
        <v>30999</v>
      </c>
      <c r="E990">
        <v>3</v>
      </c>
      <c r="F990" s="24" t="str">
        <f t="shared" si="73"/>
        <v>2024-8</v>
      </c>
      <c r="AA990">
        <v>30999</v>
      </c>
      <c r="AB990" t="s">
        <v>66</v>
      </c>
      <c r="AD990">
        <f t="shared" si="71"/>
        <v>0</v>
      </c>
      <c r="AE990">
        <f t="shared" si="72"/>
        <v>0</v>
      </c>
      <c r="CG990" t="s">
        <v>75</v>
      </c>
      <c r="CH990" t="s">
        <v>66</v>
      </c>
      <c r="CI990">
        <v>30999</v>
      </c>
      <c r="CJ990" t="s">
        <v>507</v>
      </c>
    </row>
    <row r="991" spans="1:88" x14ac:dyDescent="0.25">
      <c r="A991" t="s">
        <v>10</v>
      </c>
      <c r="B991" t="s">
        <v>101</v>
      </c>
      <c r="C991" t="s">
        <v>457</v>
      </c>
      <c r="D991">
        <v>26895</v>
      </c>
      <c r="E991">
        <v>10</v>
      </c>
      <c r="F991" s="24" t="str">
        <f t="shared" si="73"/>
        <v>2024-8</v>
      </c>
      <c r="AA991">
        <v>26895</v>
      </c>
      <c r="AB991" t="s">
        <v>101</v>
      </c>
      <c r="AD991">
        <f t="shared" si="71"/>
        <v>0</v>
      </c>
      <c r="AE991">
        <f t="shared" si="72"/>
        <v>0</v>
      </c>
      <c r="CG991" t="s">
        <v>10</v>
      </c>
      <c r="CH991" t="s">
        <v>101</v>
      </c>
      <c r="CI991">
        <v>26895</v>
      </c>
      <c r="CJ991" t="s">
        <v>507</v>
      </c>
    </row>
    <row r="992" spans="1:88" x14ac:dyDescent="0.25">
      <c r="A992" t="s">
        <v>29</v>
      </c>
      <c r="B992" t="s">
        <v>194</v>
      </c>
      <c r="C992" t="s">
        <v>458</v>
      </c>
      <c r="D992">
        <v>94465</v>
      </c>
      <c r="E992">
        <v>5</v>
      </c>
      <c r="F992" s="24" t="str">
        <f t="shared" si="73"/>
        <v>2024-8</v>
      </c>
      <c r="AA992">
        <v>94465</v>
      </c>
      <c r="AB992" t="s">
        <v>194</v>
      </c>
      <c r="AD992">
        <f t="shared" si="71"/>
        <v>0</v>
      </c>
      <c r="AE992">
        <f t="shared" si="72"/>
        <v>0</v>
      </c>
      <c r="CG992" t="s">
        <v>29</v>
      </c>
      <c r="CH992" t="s">
        <v>194</v>
      </c>
      <c r="CI992">
        <v>94465</v>
      </c>
      <c r="CJ992" t="s">
        <v>507</v>
      </c>
    </row>
    <row r="993" spans="1:88" x14ac:dyDescent="0.25">
      <c r="A993" t="s">
        <v>53</v>
      </c>
      <c r="B993" t="s">
        <v>105</v>
      </c>
      <c r="C993" t="s">
        <v>458</v>
      </c>
      <c r="D993">
        <v>55836</v>
      </c>
      <c r="E993">
        <v>3</v>
      </c>
      <c r="F993" s="24" t="str">
        <f t="shared" si="73"/>
        <v>2024-8</v>
      </c>
      <c r="AA993">
        <v>55836</v>
      </c>
      <c r="AB993" t="s">
        <v>105</v>
      </c>
      <c r="AD993">
        <f t="shared" si="71"/>
        <v>0</v>
      </c>
      <c r="AE993">
        <f t="shared" si="72"/>
        <v>0</v>
      </c>
      <c r="CG993" t="s">
        <v>53</v>
      </c>
      <c r="CH993" t="s">
        <v>105</v>
      </c>
      <c r="CI993">
        <v>55836</v>
      </c>
      <c r="CJ993" t="s">
        <v>507</v>
      </c>
    </row>
    <row r="994" spans="1:88" x14ac:dyDescent="0.25">
      <c r="A994" t="s">
        <v>21</v>
      </c>
      <c r="B994" t="s">
        <v>108</v>
      </c>
      <c r="C994" t="s">
        <v>459</v>
      </c>
      <c r="D994">
        <v>22875</v>
      </c>
      <c r="E994">
        <v>4</v>
      </c>
      <c r="F994" s="24" t="str">
        <f t="shared" si="73"/>
        <v>2024-8</v>
      </c>
      <c r="AA994">
        <v>22875</v>
      </c>
      <c r="AB994" t="s">
        <v>108</v>
      </c>
      <c r="AD994">
        <f t="shared" si="71"/>
        <v>0</v>
      </c>
      <c r="AE994">
        <f t="shared" si="72"/>
        <v>0</v>
      </c>
      <c r="CG994" t="s">
        <v>21</v>
      </c>
      <c r="CH994" t="s">
        <v>108</v>
      </c>
      <c r="CI994">
        <v>22875</v>
      </c>
      <c r="CJ994" t="s">
        <v>507</v>
      </c>
    </row>
    <row r="995" spans="1:88" x14ac:dyDescent="0.25">
      <c r="A995" t="s">
        <v>14</v>
      </c>
      <c r="B995" t="s">
        <v>301</v>
      </c>
      <c r="C995" t="s">
        <v>460</v>
      </c>
      <c r="D995">
        <v>29127</v>
      </c>
      <c r="E995">
        <v>2</v>
      </c>
      <c r="F995" s="24" t="str">
        <f t="shared" si="73"/>
        <v>2024-8</v>
      </c>
      <c r="AA995">
        <v>29127</v>
      </c>
      <c r="AB995" t="s">
        <v>301</v>
      </c>
      <c r="AD995">
        <f t="shared" si="71"/>
        <v>0</v>
      </c>
      <c r="AE995">
        <f t="shared" si="72"/>
        <v>0</v>
      </c>
      <c r="CG995" t="s">
        <v>14</v>
      </c>
      <c r="CH995" t="s">
        <v>301</v>
      </c>
      <c r="CI995">
        <v>29127</v>
      </c>
      <c r="CJ995" t="s">
        <v>507</v>
      </c>
    </row>
    <row r="996" spans="1:88" x14ac:dyDescent="0.25">
      <c r="A996" t="s">
        <v>55</v>
      </c>
      <c r="B996" t="s">
        <v>88</v>
      </c>
      <c r="C996" t="s">
        <v>461</v>
      </c>
      <c r="D996">
        <v>14753</v>
      </c>
      <c r="E996">
        <v>6</v>
      </c>
      <c r="F996" s="24" t="str">
        <f t="shared" si="73"/>
        <v>2024-8</v>
      </c>
      <c r="AA996">
        <v>14753</v>
      </c>
      <c r="AB996" t="s">
        <v>88</v>
      </c>
      <c r="AD996">
        <f t="shared" si="71"/>
        <v>0</v>
      </c>
      <c r="AE996">
        <f t="shared" si="72"/>
        <v>0</v>
      </c>
      <c r="CG996" t="s">
        <v>55</v>
      </c>
      <c r="CH996" t="s">
        <v>88</v>
      </c>
      <c r="CI996">
        <v>14753</v>
      </c>
      <c r="CJ996" t="s">
        <v>507</v>
      </c>
    </row>
    <row r="997" spans="1:88" x14ac:dyDescent="0.25">
      <c r="A997" t="s">
        <v>29</v>
      </c>
      <c r="B997" t="s">
        <v>139</v>
      </c>
      <c r="C997" t="s">
        <v>461</v>
      </c>
      <c r="D997">
        <v>66494</v>
      </c>
      <c r="E997">
        <v>10</v>
      </c>
      <c r="F997" s="24" t="str">
        <f t="shared" si="73"/>
        <v>2024-8</v>
      </c>
      <c r="AA997">
        <v>66494</v>
      </c>
      <c r="AB997" t="s">
        <v>139</v>
      </c>
      <c r="AD997">
        <f t="shared" si="71"/>
        <v>0</v>
      </c>
      <c r="AE997">
        <f t="shared" si="72"/>
        <v>0</v>
      </c>
      <c r="CG997" t="s">
        <v>29</v>
      </c>
      <c r="CH997" t="s">
        <v>139</v>
      </c>
      <c r="CI997">
        <v>66494</v>
      </c>
      <c r="CJ997" t="s">
        <v>507</v>
      </c>
    </row>
    <row r="998" spans="1:88" x14ac:dyDescent="0.25">
      <c r="A998" t="s">
        <v>55</v>
      </c>
      <c r="B998" t="s">
        <v>251</v>
      </c>
      <c r="C998" t="s">
        <v>461</v>
      </c>
      <c r="D998">
        <v>30244</v>
      </c>
      <c r="E998">
        <v>9</v>
      </c>
      <c r="F998" s="24" t="str">
        <f t="shared" si="73"/>
        <v>2024-8</v>
      </c>
      <c r="AA998">
        <v>30244</v>
      </c>
      <c r="AB998" t="s">
        <v>251</v>
      </c>
      <c r="AD998">
        <f t="shared" si="71"/>
        <v>0</v>
      </c>
      <c r="AE998">
        <f t="shared" si="72"/>
        <v>0</v>
      </c>
      <c r="CG998" t="s">
        <v>55</v>
      </c>
      <c r="CH998" t="s">
        <v>251</v>
      </c>
      <c r="CI998">
        <v>30244</v>
      </c>
      <c r="CJ998" t="s">
        <v>507</v>
      </c>
    </row>
    <row r="999" spans="1:88" x14ac:dyDescent="0.25">
      <c r="A999" t="s">
        <v>35</v>
      </c>
      <c r="B999" t="s">
        <v>237</v>
      </c>
      <c r="C999" t="s">
        <v>462</v>
      </c>
      <c r="D999">
        <v>40286</v>
      </c>
      <c r="E999">
        <v>2</v>
      </c>
      <c r="F999" s="24" t="str">
        <f t="shared" si="73"/>
        <v>2024-9</v>
      </c>
      <c r="AA999">
        <v>40286</v>
      </c>
      <c r="AB999" t="s">
        <v>237</v>
      </c>
      <c r="AD999">
        <f t="shared" si="71"/>
        <v>0</v>
      </c>
      <c r="AE999">
        <f t="shared" si="72"/>
        <v>0</v>
      </c>
      <c r="CG999" t="s">
        <v>35</v>
      </c>
      <c r="CH999" t="s">
        <v>237</v>
      </c>
      <c r="CI999">
        <v>40286</v>
      </c>
      <c r="CJ999" t="s">
        <v>508</v>
      </c>
    </row>
    <row r="1000" spans="1:88" x14ac:dyDescent="0.25">
      <c r="A1000" t="s">
        <v>29</v>
      </c>
      <c r="B1000" t="s">
        <v>73</v>
      </c>
      <c r="C1000" t="s">
        <v>462</v>
      </c>
      <c r="D1000">
        <v>38479</v>
      </c>
      <c r="E1000">
        <v>6</v>
      </c>
      <c r="F1000" s="24" t="str">
        <f t="shared" si="73"/>
        <v>2024-9</v>
      </c>
      <c r="AA1000">
        <v>38479</v>
      </c>
      <c r="AB1000" t="s">
        <v>73</v>
      </c>
      <c r="AD1000">
        <f t="shared" si="71"/>
        <v>0</v>
      </c>
      <c r="AE1000">
        <f t="shared" si="72"/>
        <v>0</v>
      </c>
      <c r="CG1000" t="s">
        <v>29</v>
      </c>
      <c r="CH1000" t="s">
        <v>73</v>
      </c>
      <c r="CI1000">
        <v>38479</v>
      </c>
      <c r="CJ1000" t="s">
        <v>508</v>
      </c>
    </row>
    <row r="1001" spans="1:88" x14ac:dyDescent="0.25">
      <c r="A1001" t="s">
        <v>16</v>
      </c>
      <c r="B1001" t="s">
        <v>147</v>
      </c>
      <c r="C1001" t="s">
        <v>462</v>
      </c>
      <c r="D1001">
        <v>72616</v>
      </c>
      <c r="E1001">
        <v>9</v>
      </c>
      <c r="F1001" s="24" t="str">
        <f t="shared" si="73"/>
        <v>2024-9</v>
      </c>
      <c r="AA1001">
        <v>72616</v>
      </c>
      <c r="AB1001" t="s">
        <v>147</v>
      </c>
      <c r="AD1001">
        <f t="shared" si="71"/>
        <v>0</v>
      </c>
      <c r="AE1001">
        <f t="shared" si="72"/>
        <v>0</v>
      </c>
      <c r="CG1001" t="s">
        <v>16</v>
      </c>
      <c r="CH1001" t="s">
        <v>147</v>
      </c>
      <c r="CI1001">
        <v>72616</v>
      </c>
      <c r="CJ1001" t="s">
        <v>508</v>
      </c>
    </row>
  </sheetData>
  <sortState ref="AL2:AN11">
    <sortCondition ref="AL2:AL11"/>
  </sortState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topLeftCell="B58" zoomScale="85" zoomScaleNormal="85" workbookViewId="0">
      <selection activeCell="N98" sqref="N98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3" x14ac:dyDescent="0.25">
      <c r="A1" t="s">
        <v>463</v>
      </c>
      <c r="B1" s="2" t="s">
        <v>516</v>
      </c>
    </row>
    <row r="2" spans="1:13" ht="30" x14ac:dyDescent="0.25">
      <c r="A2" s="3" t="s">
        <v>464</v>
      </c>
      <c r="B2" t="s">
        <v>465</v>
      </c>
      <c r="G2" s="1" t="s">
        <v>0</v>
      </c>
      <c r="H2" s="4" t="s">
        <v>467</v>
      </c>
      <c r="I2" s="4" t="s">
        <v>468</v>
      </c>
      <c r="J2" s="5" t="s">
        <v>469</v>
      </c>
      <c r="K2" s="4" t="s">
        <v>4</v>
      </c>
    </row>
    <row r="3" spans="1:13" x14ac:dyDescent="0.25">
      <c r="B3" t="s">
        <v>470</v>
      </c>
      <c r="F3">
        <v>1</v>
      </c>
      <c r="G3" t="s">
        <v>16</v>
      </c>
      <c r="H3" s="6">
        <v>78</v>
      </c>
      <c r="I3" s="7">
        <v>5135301</v>
      </c>
      <c r="J3" s="6">
        <v>364</v>
      </c>
      <c r="K3" s="8">
        <v>-0.40625</v>
      </c>
    </row>
    <row r="4" spans="1:13" x14ac:dyDescent="0.25">
      <c r="B4" t="s">
        <v>471</v>
      </c>
      <c r="F4">
        <v>2</v>
      </c>
      <c r="G4" t="s">
        <v>21</v>
      </c>
      <c r="H4" s="6">
        <v>83</v>
      </c>
      <c r="I4" s="7">
        <v>4774759</v>
      </c>
      <c r="J4" s="6">
        <v>358</v>
      </c>
      <c r="K4" s="8">
        <v>-0.4925373134328358</v>
      </c>
      <c r="M4" s="24"/>
    </row>
    <row r="5" spans="1:13" x14ac:dyDescent="0.25">
      <c r="B5" t="s">
        <v>472</v>
      </c>
      <c r="F5">
        <v>3</v>
      </c>
      <c r="G5" t="s">
        <v>8</v>
      </c>
      <c r="H5" s="6">
        <v>76</v>
      </c>
      <c r="I5" s="7">
        <v>4445566</v>
      </c>
      <c r="J5" s="6">
        <v>360</v>
      </c>
      <c r="K5" s="8">
        <v>-0.37931034482758619</v>
      </c>
    </row>
    <row r="6" spans="1:13" x14ac:dyDescent="0.25">
      <c r="B6" s="9" t="s">
        <v>473</v>
      </c>
      <c r="F6">
        <v>4</v>
      </c>
      <c r="G6" t="s">
        <v>37</v>
      </c>
      <c r="H6" s="6">
        <v>93</v>
      </c>
      <c r="I6" s="7">
        <v>5223981</v>
      </c>
      <c r="J6" s="6">
        <v>354</v>
      </c>
      <c r="K6" s="8">
        <v>-0.28000000000000003</v>
      </c>
    </row>
    <row r="7" spans="1:13" x14ac:dyDescent="0.25">
      <c r="B7" s="10" t="s">
        <v>474</v>
      </c>
      <c r="F7">
        <v>5</v>
      </c>
      <c r="G7" t="s">
        <v>53</v>
      </c>
      <c r="H7" s="6">
        <v>89</v>
      </c>
      <c r="I7" s="7">
        <v>4612348</v>
      </c>
      <c r="J7" s="6">
        <v>351</v>
      </c>
      <c r="K7" s="8">
        <v>-0.28767123287671231</v>
      </c>
    </row>
    <row r="8" spans="1:13" x14ac:dyDescent="0.25">
      <c r="B8" t="s">
        <v>475</v>
      </c>
      <c r="F8">
        <v>6</v>
      </c>
      <c r="G8" t="s">
        <v>10</v>
      </c>
      <c r="H8" s="6">
        <v>95</v>
      </c>
      <c r="I8" s="7">
        <v>5170450</v>
      </c>
      <c r="J8" s="6">
        <v>360</v>
      </c>
      <c r="K8" s="8">
        <v>-0.21621621621621623</v>
      </c>
    </row>
    <row r="9" spans="1:13" x14ac:dyDescent="0.25">
      <c r="F9">
        <v>7</v>
      </c>
      <c r="G9" t="s">
        <v>55</v>
      </c>
      <c r="H9" s="6">
        <v>74</v>
      </c>
      <c r="I9" s="7">
        <v>5038427</v>
      </c>
      <c r="J9" s="6">
        <v>354</v>
      </c>
      <c r="K9" s="8">
        <v>-0.32758620689655171</v>
      </c>
    </row>
    <row r="10" spans="1:13" x14ac:dyDescent="0.25">
      <c r="F10">
        <v>8</v>
      </c>
      <c r="G10" t="s">
        <v>35</v>
      </c>
      <c r="H10" s="6">
        <v>72</v>
      </c>
      <c r="I10" s="7">
        <v>4332275</v>
      </c>
      <c r="J10" s="6">
        <v>361</v>
      </c>
      <c r="K10" s="8">
        <v>-0.34482758620689657</v>
      </c>
    </row>
    <row r="11" spans="1:13" x14ac:dyDescent="0.25">
      <c r="F11">
        <v>9</v>
      </c>
      <c r="G11" t="s">
        <v>75</v>
      </c>
      <c r="H11" s="6">
        <v>82</v>
      </c>
      <c r="I11" s="7">
        <v>4271374</v>
      </c>
      <c r="J11" s="6">
        <v>341</v>
      </c>
      <c r="K11" s="8">
        <v>-0.37681159420289856</v>
      </c>
    </row>
    <row r="12" spans="1:13" x14ac:dyDescent="0.25">
      <c r="B12" t="s">
        <v>476</v>
      </c>
      <c r="F12">
        <v>10</v>
      </c>
      <c r="G12" t="s">
        <v>29</v>
      </c>
      <c r="H12" s="6">
        <v>82</v>
      </c>
      <c r="I12" s="7">
        <v>3974174</v>
      </c>
      <c r="J12" s="6">
        <v>362</v>
      </c>
      <c r="K12" s="8">
        <v>-0.2153846153846154</v>
      </c>
    </row>
    <row r="13" spans="1:13" x14ac:dyDescent="0.25">
      <c r="A13" t="s">
        <v>477</v>
      </c>
      <c r="B13" t="s">
        <v>10</v>
      </c>
      <c r="F13">
        <v>11</v>
      </c>
      <c r="G13" t="s">
        <v>5</v>
      </c>
      <c r="H13" s="6">
        <v>95</v>
      </c>
      <c r="I13" s="7">
        <v>4123618</v>
      </c>
      <c r="J13" s="6">
        <v>355</v>
      </c>
      <c r="K13" s="8">
        <v>-0.3888888888888889</v>
      </c>
    </row>
    <row r="14" spans="1:13" x14ac:dyDescent="0.25">
      <c r="F14">
        <v>12</v>
      </c>
      <c r="G14" t="s">
        <v>14</v>
      </c>
      <c r="H14" s="6">
        <v>81</v>
      </c>
      <c r="I14" s="7">
        <v>4801070</v>
      </c>
      <c r="J14" s="6">
        <v>360</v>
      </c>
      <c r="K14" s="8">
        <v>-0.2857142857142857</v>
      </c>
    </row>
    <row r="15" spans="1:13" x14ac:dyDescent="0.25">
      <c r="A15" t="s">
        <v>478</v>
      </c>
      <c r="B15" s="11" t="s">
        <v>37</v>
      </c>
    </row>
    <row r="17" spans="1:11" ht="15.75" x14ac:dyDescent="0.25">
      <c r="A17" t="s">
        <v>479</v>
      </c>
      <c r="B17" s="11" t="s">
        <v>16</v>
      </c>
      <c r="G17" s="12"/>
    </row>
    <row r="19" spans="1:11" x14ac:dyDescent="0.25">
      <c r="A19" t="s">
        <v>4</v>
      </c>
      <c r="B19" s="11" t="s">
        <v>29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480</v>
      </c>
      <c r="B23" t="s">
        <v>481</v>
      </c>
      <c r="G23" t="s">
        <v>482</v>
      </c>
    </row>
    <row r="24" spans="1:11" x14ac:dyDescent="0.25">
      <c r="B24" s="14" t="s">
        <v>483</v>
      </c>
      <c r="G24" t="s">
        <v>484</v>
      </c>
      <c r="H24" t="s">
        <v>485</v>
      </c>
      <c r="I24" t="s">
        <v>468</v>
      </c>
    </row>
    <row r="25" spans="1:11" x14ac:dyDescent="0.25">
      <c r="B25" s="14" t="s">
        <v>486</v>
      </c>
      <c r="F25">
        <v>1</v>
      </c>
      <c r="G25" s="6" t="s">
        <v>39</v>
      </c>
      <c r="H25" s="6">
        <v>19</v>
      </c>
      <c r="I25" s="6">
        <v>1114311</v>
      </c>
    </row>
    <row r="26" spans="1:11" x14ac:dyDescent="0.25">
      <c r="B26" s="14" t="s">
        <v>487</v>
      </c>
      <c r="F26">
        <v>2</v>
      </c>
      <c r="G26" s="6" t="s">
        <v>88</v>
      </c>
      <c r="H26" s="6">
        <v>17</v>
      </c>
      <c r="I26" s="6">
        <v>755324</v>
      </c>
    </row>
    <row r="27" spans="1:11" x14ac:dyDescent="0.25">
      <c r="F27">
        <v>3</v>
      </c>
      <c r="G27" s="6" t="s">
        <v>18</v>
      </c>
      <c r="H27" s="6">
        <v>13</v>
      </c>
      <c r="I27" s="6">
        <v>653892</v>
      </c>
    </row>
    <row r="28" spans="1:11" x14ac:dyDescent="0.25">
      <c r="F28">
        <v>4</v>
      </c>
      <c r="G28" s="6" t="s">
        <v>82</v>
      </c>
      <c r="H28" s="6">
        <v>13</v>
      </c>
      <c r="I28" s="6">
        <v>557185</v>
      </c>
    </row>
    <row r="29" spans="1:11" x14ac:dyDescent="0.25">
      <c r="F29">
        <v>5</v>
      </c>
      <c r="G29" s="6" t="s">
        <v>50</v>
      </c>
      <c r="H29" s="6">
        <v>12</v>
      </c>
      <c r="I29" s="6">
        <v>849525</v>
      </c>
    </row>
    <row r="30" spans="1:11" x14ac:dyDescent="0.25">
      <c r="F30">
        <v>6</v>
      </c>
      <c r="G30" s="6" t="s">
        <v>100</v>
      </c>
      <c r="H30" s="6">
        <v>12</v>
      </c>
      <c r="I30" s="6">
        <v>751267</v>
      </c>
    </row>
    <row r="31" spans="1:11" x14ac:dyDescent="0.25">
      <c r="F31">
        <v>7</v>
      </c>
      <c r="G31" s="6" t="s">
        <v>119</v>
      </c>
      <c r="H31" s="6">
        <v>12</v>
      </c>
      <c r="I31" s="6">
        <v>619964</v>
      </c>
    </row>
    <row r="32" spans="1:11" x14ac:dyDescent="0.25">
      <c r="F32">
        <v>8</v>
      </c>
      <c r="G32" s="6" t="s">
        <v>52</v>
      </c>
      <c r="H32" s="6">
        <v>11</v>
      </c>
      <c r="I32" s="6">
        <v>699384</v>
      </c>
    </row>
    <row r="33" spans="6:9" x14ac:dyDescent="0.25">
      <c r="F33">
        <v>9</v>
      </c>
      <c r="G33" s="6" t="s">
        <v>81</v>
      </c>
      <c r="H33" s="6">
        <v>11</v>
      </c>
      <c r="I33" s="6">
        <v>626805</v>
      </c>
    </row>
    <row r="34" spans="6:9" x14ac:dyDescent="0.25">
      <c r="F34">
        <v>10</v>
      </c>
      <c r="G34" s="6" t="s">
        <v>130</v>
      </c>
      <c r="H34" s="6">
        <v>10</v>
      </c>
      <c r="I34" s="6">
        <v>725184</v>
      </c>
    </row>
    <row r="37" spans="6:9" x14ac:dyDescent="0.25">
      <c r="G37" t="s">
        <v>488</v>
      </c>
    </row>
    <row r="38" spans="6:9" x14ac:dyDescent="0.25">
      <c r="G38" t="s">
        <v>484</v>
      </c>
      <c r="H38" t="s">
        <v>485</v>
      </c>
      <c r="I38" t="s">
        <v>468</v>
      </c>
    </row>
    <row r="39" spans="6:9" x14ac:dyDescent="0.25">
      <c r="F39">
        <v>1</v>
      </c>
      <c r="G39" t="s">
        <v>266</v>
      </c>
      <c r="H39" s="6">
        <v>1</v>
      </c>
      <c r="I39" s="6">
        <v>61112</v>
      </c>
    </row>
    <row r="40" spans="6:9" x14ac:dyDescent="0.25">
      <c r="F40">
        <v>2</v>
      </c>
      <c r="G40" t="s">
        <v>281</v>
      </c>
      <c r="H40" s="6">
        <v>2</v>
      </c>
      <c r="I40" s="6">
        <v>129737</v>
      </c>
    </row>
    <row r="41" spans="6:9" x14ac:dyDescent="0.25">
      <c r="F41">
        <v>3</v>
      </c>
      <c r="G41" t="s">
        <v>232</v>
      </c>
      <c r="H41" s="6">
        <v>1</v>
      </c>
      <c r="I41" s="6">
        <v>62920</v>
      </c>
    </row>
    <row r="42" spans="6:9" x14ac:dyDescent="0.25">
      <c r="F42">
        <v>4</v>
      </c>
      <c r="G42" t="s">
        <v>219</v>
      </c>
      <c r="H42" s="6">
        <v>1</v>
      </c>
      <c r="I42" s="6">
        <v>87346</v>
      </c>
    </row>
    <row r="43" spans="6:9" x14ac:dyDescent="0.25">
      <c r="F43">
        <v>5</v>
      </c>
      <c r="G43" t="s">
        <v>261</v>
      </c>
      <c r="H43" s="6">
        <v>1</v>
      </c>
      <c r="I43" s="6">
        <v>49201</v>
      </c>
    </row>
    <row r="44" spans="6:9" x14ac:dyDescent="0.25">
      <c r="F44">
        <v>6</v>
      </c>
      <c r="G44" t="s">
        <v>141</v>
      </c>
      <c r="H44" s="6">
        <v>1</v>
      </c>
      <c r="I44" s="6">
        <v>51971</v>
      </c>
    </row>
    <row r="45" spans="6:9" x14ac:dyDescent="0.25">
      <c r="F45">
        <v>7</v>
      </c>
      <c r="G45" t="s">
        <v>273</v>
      </c>
      <c r="H45" s="6">
        <v>2</v>
      </c>
      <c r="I45" s="6">
        <v>76836</v>
      </c>
    </row>
    <row r="46" spans="6:9" x14ac:dyDescent="0.25">
      <c r="F46">
        <v>8</v>
      </c>
      <c r="G46" t="s">
        <v>258</v>
      </c>
      <c r="H46" s="6">
        <v>2</v>
      </c>
      <c r="I46" s="6">
        <v>91492</v>
      </c>
    </row>
    <row r="47" spans="6:9" x14ac:dyDescent="0.25">
      <c r="F47">
        <v>9</v>
      </c>
      <c r="G47" t="s">
        <v>84</v>
      </c>
      <c r="H47" s="6">
        <v>1</v>
      </c>
      <c r="I47" s="6">
        <v>22240</v>
      </c>
    </row>
    <row r="48" spans="6:9" x14ac:dyDescent="0.25">
      <c r="F48">
        <v>10</v>
      </c>
      <c r="G48" t="s">
        <v>223</v>
      </c>
      <c r="H48" s="6">
        <v>1</v>
      </c>
      <c r="I48" s="6">
        <v>72139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489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490</v>
      </c>
      <c r="B52" t="s">
        <v>491</v>
      </c>
      <c r="C52" s="15"/>
      <c r="D52" s="15"/>
      <c r="G52" t="s">
        <v>492</v>
      </c>
    </row>
    <row r="53" spans="1:20" x14ac:dyDescent="0.25">
      <c r="B53" t="s">
        <v>493</v>
      </c>
      <c r="C53" s="15" t="s">
        <v>494</v>
      </c>
      <c r="D53" s="15" t="s">
        <v>495</v>
      </c>
      <c r="G53" s="17" t="s">
        <v>466</v>
      </c>
      <c r="H53" s="6" t="s">
        <v>496</v>
      </c>
      <c r="I53" s="6" t="s">
        <v>497</v>
      </c>
      <c r="J53" s="6" t="s">
        <v>498</v>
      </c>
      <c r="K53" s="6" t="s">
        <v>499</v>
      </c>
      <c r="L53" s="6" t="s">
        <v>500</v>
      </c>
      <c r="M53" s="6" t="s">
        <v>501</v>
      </c>
      <c r="N53" s="6" t="s">
        <v>502</v>
      </c>
      <c r="O53" s="6" t="s">
        <v>503</v>
      </c>
      <c r="P53" s="6" t="s">
        <v>504</v>
      </c>
      <c r="Q53" s="6" t="s">
        <v>505</v>
      </c>
      <c r="R53" s="6" t="s">
        <v>506</v>
      </c>
      <c r="S53" s="6" t="s">
        <v>507</v>
      </c>
      <c r="T53" s="6" t="s">
        <v>508</v>
      </c>
    </row>
    <row r="54" spans="1:20" x14ac:dyDescent="0.25">
      <c r="B54" t="s">
        <v>509</v>
      </c>
      <c r="C54" s="18">
        <v>45170</v>
      </c>
      <c r="D54" s="19">
        <v>45537</v>
      </c>
      <c r="G54" s="6" t="s">
        <v>16</v>
      </c>
      <c r="H54" s="6">
        <v>7</v>
      </c>
      <c r="I54" s="6">
        <v>6</v>
      </c>
      <c r="J54" s="6">
        <v>10</v>
      </c>
      <c r="K54" s="6">
        <v>7</v>
      </c>
      <c r="L54" s="6">
        <v>9</v>
      </c>
      <c r="M54" s="6">
        <v>3</v>
      </c>
      <c r="N54" s="6">
        <v>4</v>
      </c>
      <c r="O54" s="6">
        <v>5</v>
      </c>
      <c r="P54" s="6">
        <v>7</v>
      </c>
      <c r="Q54" s="6">
        <v>5</v>
      </c>
      <c r="R54" s="6">
        <v>10</v>
      </c>
      <c r="S54" s="6">
        <v>4</v>
      </c>
      <c r="T54" s="6">
        <v>1</v>
      </c>
    </row>
    <row r="55" spans="1:20" x14ac:dyDescent="0.25">
      <c r="B55" t="s">
        <v>510</v>
      </c>
      <c r="C55" s="15">
        <v>2023</v>
      </c>
      <c r="D55" s="15">
        <v>2024</v>
      </c>
      <c r="G55" s="6" t="s">
        <v>21</v>
      </c>
      <c r="H55" s="6">
        <v>6</v>
      </c>
      <c r="I55" s="6">
        <v>9</v>
      </c>
      <c r="J55" s="6">
        <v>3</v>
      </c>
      <c r="K55" s="6">
        <v>9</v>
      </c>
      <c r="L55" s="6">
        <v>3</v>
      </c>
      <c r="M55" s="6">
        <v>8</v>
      </c>
      <c r="N55" s="6">
        <v>6</v>
      </c>
      <c r="O55" s="6">
        <v>9</v>
      </c>
      <c r="P55" s="6">
        <v>5</v>
      </c>
      <c r="Q55" s="6">
        <v>10</v>
      </c>
      <c r="R55" s="6">
        <v>9</v>
      </c>
      <c r="S55" s="6">
        <v>6</v>
      </c>
      <c r="T55" s="6">
        <v>0</v>
      </c>
    </row>
    <row r="56" spans="1:20" x14ac:dyDescent="0.25">
      <c r="C56" s="15">
        <v>9</v>
      </c>
      <c r="D56" s="15">
        <v>9</v>
      </c>
      <c r="G56" s="6" t="s">
        <v>8</v>
      </c>
      <c r="H56" s="6">
        <v>7</v>
      </c>
      <c r="I56" s="6">
        <v>5</v>
      </c>
      <c r="J56" s="6">
        <v>7</v>
      </c>
      <c r="K56" s="6">
        <v>4</v>
      </c>
      <c r="L56" s="6">
        <v>8</v>
      </c>
      <c r="M56" s="6">
        <v>5</v>
      </c>
      <c r="N56" s="6">
        <v>6</v>
      </c>
      <c r="O56" s="6">
        <v>9</v>
      </c>
      <c r="P56" s="6">
        <v>11</v>
      </c>
      <c r="Q56" s="6">
        <v>5</v>
      </c>
      <c r="R56" s="6">
        <v>5</v>
      </c>
      <c r="S56" s="6">
        <v>4</v>
      </c>
      <c r="T56" s="6">
        <v>0</v>
      </c>
    </row>
    <row r="57" spans="1:20" x14ac:dyDescent="0.25">
      <c r="G57" s="6" t="s">
        <v>37</v>
      </c>
      <c r="H57" s="6">
        <v>10</v>
      </c>
      <c r="I57" s="6">
        <v>9</v>
      </c>
      <c r="J57" s="6">
        <v>11</v>
      </c>
      <c r="K57" s="6">
        <v>8</v>
      </c>
      <c r="L57" s="6">
        <v>8</v>
      </c>
      <c r="M57" s="6">
        <v>6</v>
      </c>
      <c r="N57" s="6">
        <v>5</v>
      </c>
      <c r="O57" s="6">
        <v>6</v>
      </c>
      <c r="P57" s="6">
        <v>10</v>
      </c>
      <c r="Q57" s="6">
        <v>6</v>
      </c>
      <c r="R57" s="6">
        <v>7</v>
      </c>
      <c r="S57" s="6">
        <v>7</v>
      </c>
      <c r="T57" s="6">
        <v>0</v>
      </c>
    </row>
    <row r="58" spans="1:20" x14ac:dyDescent="0.25">
      <c r="G58" s="6" t="s">
        <v>53</v>
      </c>
      <c r="H58" s="6">
        <v>6</v>
      </c>
      <c r="I58" s="6">
        <v>9</v>
      </c>
      <c r="J58" s="6">
        <v>6</v>
      </c>
      <c r="K58" s="6">
        <v>12</v>
      </c>
      <c r="L58" s="6">
        <v>2</v>
      </c>
      <c r="M58" s="6">
        <v>8</v>
      </c>
      <c r="N58" s="6">
        <v>9</v>
      </c>
      <c r="O58" s="6">
        <v>8</v>
      </c>
      <c r="P58" s="6">
        <v>10</v>
      </c>
      <c r="Q58" s="6">
        <v>8</v>
      </c>
      <c r="R58" s="6">
        <v>6</v>
      </c>
      <c r="S58" s="6">
        <v>5</v>
      </c>
      <c r="T58" s="6">
        <v>0</v>
      </c>
    </row>
    <row r="59" spans="1:20" x14ac:dyDescent="0.25">
      <c r="G59" s="6" t="s">
        <v>10</v>
      </c>
      <c r="H59" s="6">
        <v>5</v>
      </c>
      <c r="I59" s="6">
        <v>11</v>
      </c>
      <c r="J59" s="6">
        <v>11</v>
      </c>
      <c r="K59" s="6">
        <v>6</v>
      </c>
      <c r="L59" s="6">
        <v>5</v>
      </c>
      <c r="M59" s="6">
        <v>6</v>
      </c>
      <c r="N59" s="6">
        <v>12</v>
      </c>
      <c r="O59" s="6">
        <v>9</v>
      </c>
      <c r="P59" s="6">
        <v>7</v>
      </c>
      <c r="Q59" s="6">
        <v>7</v>
      </c>
      <c r="R59" s="6">
        <v>7</v>
      </c>
      <c r="S59" s="6">
        <v>9</v>
      </c>
      <c r="T59" s="6">
        <v>0</v>
      </c>
    </row>
    <row r="60" spans="1:20" x14ac:dyDescent="0.25">
      <c r="G60" s="6" t="s">
        <v>55</v>
      </c>
      <c r="H60" s="6">
        <v>4</v>
      </c>
      <c r="I60" s="6">
        <v>8</v>
      </c>
      <c r="J60" s="6">
        <v>7</v>
      </c>
      <c r="K60" s="6">
        <v>11</v>
      </c>
      <c r="L60" s="6">
        <v>5</v>
      </c>
      <c r="M60" s="6">
        <v>3</v>
      </c>
      <c r="N60" s="6">
        <v>8</v>
      </c>
      <c r="O60" s="6">
        <v>4</v>
      </c>
      <c r="P60" s="6">
        <v>7</v>
      </c>
      <c r="Q60" s="6">
        <v>6</v>
      </c>
      <c r="R60" s="6">
        <v>7</v>
      </c>
      <c r="S60" s="6">
        <v>4</v>
      </c>
      <c r="T60" s="6">
        <v>0</v>
      </c>
    </row>
    <row r="61" spans="1:20" x14ac:dyDescent="0.25">
      <c r="G61" s="6" t="s">
        <v>35</v>
      </c>
      <c r="H61" s="6">
        <v>10</v>
      </c>
      <c r="I61" s="6">
        <v>6</v>
      </c>
      <c r="J61" s="6">
        <v>6</v>
      </c>
      <c r="K61" s="6">
        <v>5</v>
      </c>
      <c r="L61" s="6">
        <v>8</v>
      </c>
      <c r="M61" s="6">
        <v>5</v>
      </c>
      <c r="N61" s="6">
        <v>14</v>
      </c>
      <c r="O61" s="6">
        <v>3</v>
      </c>
      <c r="P61" s="6">
        <v>1</v>
      </c>
      <c r="Q61" s="6">
        <v>5</v>
      </c>
      <c r="R61" s="6">
        <v>7</v>
      </c>
      <c r="S61" s="6">
        <v>1</v>
      </c>
      <c r="T61" s="6">
        <v>1</v>
      </c>
    </row>
    <row r="62" spans="1:20" x14ac:dyDescent="0.25">
      <c r="G62" s="6" t="s">
        <v>75</v>
      </c>
      <c r="H62" s="6">
        <v>4</v>
      </c>
      <c r="I62" s="6">
        <v>6</v>
      </c>
      <c r="J62" s="6">
        <v>8</v>
      </c>
      <c r="K62" s="6">
        <v>10</v>
      </c>
      <c r="L62" s="6">
        <v>7</v>
      </c>
      <c r="M62" s="6">
        <v>8</v>
      </c>
      <c r="N62" s="6">
        <v>2</v>
      </c>
      <c r="O62" s="6">
        <v>8</v>
      </c>
      <c r="P62" s="6">
        <v>8</v>
      </c>
      <c r="Q62" s="6">
        <v>6</v>
      </c>
      <c r="R62" s="6">
        <v>7</v>
      </c>
      <c r="S62" s="6">
        <v>8</v>
      </c>
      <c r="T62" s="6">
        <v>0</v>
      </c>
    </row>
    <row r="63" spans="1:20" x14ac:dyDescent="0.25">
      <c r="G63" s="6" t="s">
        <v>29</v>
      </c>
      <c r="H63" s="6">
        <v>7</v>
      </c>
      <c r="I63" s="6">
        <v>8</v>
      </c>
      <c r="J63" s="6">
        <v>5</v>
      </c>
      <c r="K63" s="6">
        <v>9</v>
      </c>
      <c r="L63" s="6">
        <v>10</v>
      </c>
      <c r="M63" s="6">
        <v>8</v>
      </c>
      <c r="N63" s="6">
        <v>8</v>
      </c>
      <c r="O63" s="6">
        <v>5</v>
      </c>
      <c r="P63" s="6">
        <v>5</v>
      </c>
      <c r="Q63" s="6">
        <v>3</v>
      </c>
      <c r="R63" s="6">
        <v>6</v>
      </c>
      <c r="S63" s="6">
        <v>7</v>
      </c>
      <c r="T63" s="6">
        <v>1</v>
      </c>
    </row>
    <row r="64" spans="1:20" x14ac:dyDescent="0.25">
      <c r="G64" s="6" t="s">
        <v>5</v>
      </c>
      <c r="H64" s="6">
        <v>14</v>
      </c>
      <c r="I64" s="6">
        <v>5</v>
      </c>
      <c r="J64" s="6">
        <v>10</v>
      </c>
      <c r="K64" s="6">
        <v>12</v>
      </c>
      <c r="L64" s="6">
        <v>11</v>
      </c>
      <c r="M64" s="6">
        <v>3</v>
      </c>
      <c r="N64" s="6">
        <v>3</v>
      </c>
      <c r="O64" s="6">
        <v>5</v>
      </c>
      <c r="P64" s="6">
        <v>10</v>
      </c>
      <c r="Q64" s="6">
        <v>4</v>
      </c>
      <c r="R64" s="6">
        <v>6</v>
      </c>
      <c r="S64" s="6">
        <v>12</v>
      </c>
      <c r="T64" s="6">
        <v>0</v>
      </c>
    </row>
    <row r="65" spans="7:20" x14ac:dyDescent="0.25">
      <c r="G65" s="6" t="s">
        <v>14</v>
      </c>
      <c r="H65" s="6">
        <v>5</v>
      </c>
      <c r="I65" s="6">
        <v>7</v>
      </c>
      <c r="J65" s="6">
        <v>8</v>
      </c>
      <c r="K65" s="6">
        <v>6</v>
      </c>
      <c r="L65" s="6">
        <v>7</v>
      </c>
      <c r="M65" s="6">
        <v>7</v>
      </c>
      <c r="N65" s="6">
        <v>10</v>
      </c>
      <c r="O65" s="6">
        <v>9</v>
      </c>
      <c r="P65" s="6">
        <v>3</v>
      </c>
      <c r="Q65" s="6">
        <v>7</v>
      </c>
      <c r="R65" s="6">
        <v>3</v>
      </c>
      <c r="S65" s="6">
        <v>9</v>
      </c>
      <c r="T65" s="6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466</v>
      </c>
      <c r="H68" s="6" t="s">
        <v>496</v>
      </c>
      <c r="I68" s="6" t="s">
        <v>497</v>
      </c>
      <c r="J68" s="6" t="s">
        <v>498</v>
      </c>
      <c r="K68" s="6" t="s">
        <v>499</v>
      </c>
      <c r="L68" s="6" t="s">
        <v>500</v>
      </c>
      <c r="M68" s="6" t="s">
        <v>501</v>
      </c>
      <c r="N68" s="6" t="s">
        <v>502</v>
      </c>
      <c r="O68" s="6" t="s">
        <v>503</v>
      </c>
      <c r="P68" s="6" t="s">
        <v>504</v>
      </c>
      <c r="Q68" s="6" t="s">
        <v>505</v>
      </c>
      <c r="R68" s="6" t="s">
        <v>506</v>
      </c>
      <c r="S68" s="6" t="s">
        <v>507</v>
      </c>
      <c r="T68" s="6" t="s">
        <v>508</v>
      </c>
    </row>
    <row r="69" spans="7:20" x14ac:dyDescent="0.25">
      <c r="G69" s="6" t="s">
        <v>16</v>
      </c>
      <c r="H69" s="21">
        <v>-0.33333333333333331</v>
      </c>
      <c r="I69" s="21">
        <v>0</v>
      </c>
      <c r="J69" s="21">
        <v>-0.44444444444444442</v>
      </c>
      <c r="K69" s="21">
        <v>-0.5714285714285714</v>
      </c>
      <c r="L69" s="21">
        <v>-0.5</v>
      </c>
      <c r="M69" s="21">
        <v>-1</v>
      </c>
      <c r="N69" s="21">
        <v>0</v>
      </c>
      <c r="O69" s="21">
        <v>-0.6</v>
      </c>
      <c r="P69" s="21">
        <v>-0.5</v>
      </c>
      <c r="Q69" s="21">
        <v>-0.75</v>
      </c>
      <c r="R69" s="21">
        <v>-0.6</v>
      </c>
      <c r="S69" s="21">
        <v>0</v>
      </c>
      <c r="T69" s="21">
        <v>1</v>
      </c>
    </row>
    <row r="70" spans="7:20" x14ac:dyDescent="0.25">
      <c r="G70" s="6" t="s">
        <v>21</v>
      </c>
      <c r="H70" s="21">
        <v>-0.66666666666666663</v>
      </c>
      <c r="I70" s="21">
        <v>-0.44444444444444442</v>
      </c>
      <c r="J70" s="21">
        <v>-1</v>
      </c>
      <c r="K70" s="21">
        <v>-0.375</v>
      </c>
      <c r="L70" s="21">
        <v>0</v>
      </c>
      <c r="M70" s="21">
        <v>-0.6</v>
      </c>
      <c r="N70" s="21">
        <v>-0.4</v>
      </c>
      <c r="O70" s="21">
        <v>-0.125</v>
      </c>
      <c r="P70" s="21">
        <v>-1</v>
      </c>
      <c r="Q70" s="21">
        <v>-0.66666666666666663</v>
      </c>
      <c r="R70" s="21">
        <v>-0.5</v>
      </c>
      <c r="S70" s="21">
        <v>-0.5</v>
      </c>
      <c r="T70" s="21"/>
    </row>
    <row r="71" spans="7:20" x14ac:dyDescent="0.25">
      <c r="G71" s="6" t="s">
        <v>8</v>
      </c>
      <c r="H71" s="21">
        <v>-0.42857142857142855</v>
      </c>
      <c r="I71" s="21">
        <v>-0.6</v>
      </c>
      <c r="J71" s="21">
        <v>-0.2857142857142857</v>
      </c>
      <c r="K71" s="21">
        <v>0</v>
      </c>
      <c r="L71" s="21">
        <v>-0.16666666666666666</v>
      </c>
      <c r="M71" s="21">
        <v>-0.8</v>
      </c>
      <c r="N71" s="21">
        <v>-1</v>
      </c>
      <c r="O71" s="21">
        <v>0.16666666666666666</v>
      </c>
      <c r="P71" s="21">
        <v>-0.5</v>
      </c>
      <c r="Q71" s="21">
        <v>-0.5</v>
      </c>
      <c r="R71" s="21">
        <v>0.5</v>
      </c>
      <c r="S71" s="21">
        <v>-0.66666666666666663</v>
      </c>
      <c r="T71" s="21"/>
    </row>
    <row r="72" spans="7:20" x14ac:dyDescent="0.25">
      <c r="G72" s="6" t="s">
        <v>37</v>
      </c>
      <c r="H72" s="21">
        <v>0.125</v>
      </c>
      <c r="I72" s="21">
        <v>-0.55555555555555558</v>
      </c>
      <c r="J72" s="21">
        <v>-0.22222222222222221</v>
      </c>
      <c r="K72" s="21">
        <v>-0.25</v>
      </c>
      <c r="L72" s="21">
        <v>0.16666666666666666</v>
      </c>
      <c r="M72" s="21">
        <v>0</v>
      </c>
      <c r="N72" s="21">
        <v>-0.33333333333333331</v>
      </c>
      <c r="O72" s="21">
        <v>0</v>
      </c>
      <c r="P72" s="21">
        <v>-0.44444444444444442</v>
      </c>
      <c r="Q72" s="21">
        <v>-0.66666666666666663</v>
      </c>
      <c r="R72" s="21">
        <v>-0.66666666666666663</v>
      </c>
      <c r="S72" s="21">
        <v>-0.75</v>
      </c>
      <c r="T72" s="21"/>
    </row>
    <row r="73" spans="7:20" x14ac:dyDescent="0.25">
      <c r="G73" s="6" t="s">
        <v>53</v>
      </c>
      <c r="H73" s="21">
        <v>0.33333333333333331</v>
      </c>
      <c r="I73" s="21">
        <v>-0.5</v>
      </c>
      <c r="J73" s="21">
        <v>-0.5</v>
      </c>
      <c r="K73" s="21">
        <v>-0.66666666666666663</v>
      </c>
      <c r="L73" s="21">
        <v>-0.5</v>
      </c>
      <c r="M73" s="21">
        <v>0</v>
      </c>
      <c r="N73" s="21">
        <v>0.2</v>
      </c>
      <c r="O73" s="21">
        <v>-0.66666666666666663</v>
      </c>
      <c r="P73" s="21">
        <v>-0.5714285714285714</v>
      </c>
      <c r="Q73" s="21">
        <v>-0.2857142857142857</v>
      </c>
      <c r="R73" s="21">
        <v>0</v>
      </c>
      <c r="S73" s="21">
        <v>0</v>
      </c>
      <c r="T73" s="21"/>
    </row>
    <row r="74" spans="7:20" x14ac:dyDescent="0.25">
      <c r="G74" s="6" t="s">
        <v>10</v>
      </c>
      <c r="H74" s="21">
        <v>-0.4</v>
      </c>
      <c r="I74" s="21">
        <v>-0.18181818181818182</v>
      </c>
      <c r="J74" s="21">
        <v>-9.0909090909090912E-2</v>
      </c>
      <c r="K74" s="21">
        <v>-0.6</v>
      </c>
      <c r="L74" s="21">
        <v>-0.5</v>
      </c>
      <c r="M74" s="21">
        <v>0.2</v>
      </c>
      <c r="N74" s="21">
        <v>-0.375</v>
      </c>
      <c r="O74" s="21">
        <v>-0.33333333333333331</v>
      </c>
      <c r="P74" s="21">
        <v>-0.25</v>
      </c>
      <c r="Q74" s="21">
        <v>-0.16666666666666666</v>
      </c>
      <c r="R74" s="21">
        <v>0</v>
      </c>
      <c r="S74" s="21">
        <v>0</v>
      </c>
      <c r="T74" s="21"/>
    </row>
    <row r="75" spans="7:20" x14ac:dyDescent="0.25">
      <c r="G75" s="6" t="s">
        <v>55</v>
      </c>
      <c r="H75" s="21">
        <v>-0.25</v>
      </c>
      <c r="I75" s="21">
        <v>-0.25</v>
      </c>
      <c r="J75" s="21">
        <v>-0.16666666666666666</v>
      </c>
      <c r="K75" s="21">
        <v>0</v>
      </c>
      <c r="L75" s="21">
        <v>-0.6</v>
      </c>
      <c r="M75" s="21">
        <v>0</v>
      </c>
      <c r="N75" s="21">
        <v>-0.6</v>
      </c>
      <c r="O75" s="21">
        <v>-0.66666666666666663</v>
      </c>
      <c r="P75" s="21">
        <v>-0.66666666666666663</v>
      </c>
      <c r="Q75" s="21">
        <v>-0.66666666666666663</v>
      </c>
      <c r="R75" s="21">
        <v>-0.25</v>
      </c>
      <c r="S75" s="21">
        <v>0</v>
      </c>
      <c r="T75" s="21"/>
    </row>
    <row r="76" spans="7:20" x14ac:dyDescent="0.25">
      <c r="G76" s="6" t="s">
        <v>35</v>
      </c>
      <c r="H76" s="21">
        <v>-0.3</v>
      </c>
      <c r="I76" s="21">
        <v>-0.16666666666666666</v>
      </c>
      <c r="J76" s="21">
        <v>-0.8</v>
      </c>
      <c r="K76" s="21">
        <v>-0.75</v>
      </c>
      <c r="L76" s="21">
        <v>0</v>
      </c>
      <c r="M76" s="21">
        <v>-0.4</v>
      </c>
      <c r="N76" s="21">
        <v>-0.2</v>
      </c>
      <c r="O76" s="21">
        <v>0.5</v>
      </c>
      <c r="P76" s="21">
        <v>0</v>
      </c>
      <c r="Q76" s="21">
        <v>-0.5</v>
      </c>
      <c r="R76" s="21">
        <v>-0.8</v>
      </c>
      <c r="S76" s="21">
        <v>-1</v>
      </c>
      <c r="T76" s="21"/>
    </row>
    <row r="77" spans="7:20" x14ac:dyDescent="0.25">
      <c r="G77" s="6" t="s">
        <v>75</v>
      </c>
      <c r="H77" s="21">
        <v>-0.5</v>
      </c>
      <c r="I77" s="21">
        <v>-0.4</v>
      </c>
      <c r="J77" s="21">
        <v>-0.5</v>
      </c>
      <c r="K77" s="21">
        <v>-0.1</v>
      </c>
      <c r="L77" s="21">
        <v>-0.16666666666666666</v>
      </c>
      <c r="M77" s="21">
        <v>-0.4</v>
      </c>
      <c r="N77" s="21">
        <v>-1</v>
      </c>
      <c r="O77" s="21">
        <v>-0.2857142857142857</v>
      </c>
      <c r="P77" s="21">
        <v>-0.6</v>
      </c>
      <c r="Q77" s="21">
        <v>-0.5</v>
      </c>
      <c r="R77" s="21">
        <v>-0.66666666666666663</v>
      </c>
      <c r="S77" s="21">
        <v>-0.16666666666666666</v>
      </c>
      <c r="T77" s="21"/>
    </row>
    <row r="78" spans="7:20" x14ac:dyDescent="0.25">
      <c r="G78" s="6" t="s">
        <v>29</v>
      </c>
      <c r="H78" s="21">
        <v>0.42857142857142855</v>
      </c>
      <c r="I78" s="21">
        <v>-0.5</v>
      </c>
      <c r="J78" s="21">
        <v>0</v>
      </c>
      <c r="K78" s="21">
        <v>-0.375</v>
      </c>
      <c r="L78" s="21">
        <v>-0.5714285714285714</v>
      </c>
      <c r="M78" s="21">
        <v>-0.2857142857142857</v>
      </c>
      <c r="N78" s="21">
        <v>-0.14285714285714285</v>
      </c>
      <c r="O78" s="21">
        <v>0</v>
      </c>
      <c r="P78" s="21">
        <v>0.5</v>
      </c>
      <c r="Q78" s="21">
        <v>-1</v>
      </c>
      <c r="R78" s="21">
        <v>-0.6</v>
      </c>
      <c r="S78" s="21">
        <v>0.5</v>
      </c>
      <c r="T78" s="21">
        <v>-1</v>
      </c>
    </row>
    <row r="79" spans="7:20" x14ac:dyDescent="0.25">
      <c r="G79" s="6" t="s">
        <v>5</v>
      </c>
      <c r="H79" s="21">
        <v>-0.21428571428571427</v>
      </c>
      <c r="I79" s="21">
        <v>0.25</v>
      </c>
      <c r="J79" s="21">
        <v>-0.5</v>
      </c>
      <c r="K79" s="21">
        <v>-0.66666666666666663</v>
      </c>
      <c r="L79" s="21">
        <v>-0.5</v>
      </c>
      <c r="M79" s="21">
        <v>-0.5</v>
      </c>
      <c r="N79" s="21">
        <v>-0.66666666666666663</v>
      </c>
      <c r="O79" s="21">
        <v>-0.25</v>
      </c>
      <c r="P79" s="21">
        <v>-0.25</v>
      </c>
      <c r="Q79" s="21">
        <v>-0.66666666666666663</v>
      </c>
      <c r="R79" s="21">
        <v>-0.5</v>
      </c>
      <c r="S79" s="21">
        <v>-0.42857142857142855</v>
      </c>
      <c r="T79" s="21"/>
    </row>
    <row r="80" spans="7:20" x14ac:dyDescent="0.25">
      <c r="G80" s="6" t="s">
        <v>14</v>
      </c>
      <c r="H80" s="21">
        <v>0</v>
      </c>
      <c r="I80" s="21">
        <v>-0.42857142857142855</v>
      </c>
      <c r="J80" s="21">
        <v>-0.75</v>
      </c>
      <c r="K80" s="21">
        <v>-0.2</v>
      </c>
      <c r="L80" s="21">
        <v>-0.25</v>
      </c>
      <c r="M80" s="21">
        <v>-0.14285714285714285</v>
      </c>
      <c r="N80" s="21">
        <v>-0.5</v>
      </c>
      <c r="O80" s="21">
        <v>0.125</v>
      </c>
      <c r="P80" s="21">
        <v>-1</v>
      </c>
      <c r="Q80" s="21">
        <v>-1</v>
      </c>
      <c r="R80" s="21">
        <v>0.5</v>
      </c>
      <c r="S80" s="21">
        <v>-0.14285714285714285</v>
      </c>
      <c r="T80" s="21"/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511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466</v>
      </c>
      <c r="H83" s="6" t="s">
        <v>496</v>
      </c>
      <c r="I83" s="6" t="s">
        <v>497</v>
      </c>
      <c r="J83" s="6" t="s">
        <v>498</v>
      </c>
      <c r="K83" s="6" t="s">
        <v>499</v>
      </c>
      <c r="L83" s="6" t="s">
        <v>500</v>
      </c>
      <c r="M83" s="6" t="s">
        <v>501</v>
      </c>
      <c r="N83" s="6" t="s">
        <v>502</v>
      </c>
      <c r="O83" s="6" t="s">
        <v>503</v>
      </c>
      <c r="P83" s="6" t="s">
        <v>504</v>
      </c>
      <c r="Q83" s="6" t="s">
        <v>505</v>
      </c>
      <c r="R83" s="6" t="s">
        <v>506</v>
      </c>
      <c r="S83" s="6" t="s">
        <v>507</v>
      </c>
      <c r="T83" s="6" t="s">
        <v>508</v>
      </c>
    </row>
    <row r="84" spans="7:20" x14ac:dyDescent="0.25">
      <c r="G84" s="6" t="s">
        <v>16</v>
      </c>
      <c r="H84" s="7">
        <v>39393.714285714283</v>
      </c>
      <c r="I84" s="7">
        <v>36283.333333333336</v>
      </c>
      <c r="J84" s="7">
        <v>59174.6</v>
      </c>
      <c r="K84" s="7">
        <v>40516.714285714283</v>
      </c>
      <c r="L84" s="7">
        <v>71990.888888888891</v>
      </c>
      <c r="M84" s="7">
        <v>68641</v>
      </c>
      <c r="N84" s="7">
        <v>37532.5</v>
      </c>
      <c r="O84" s="7">
        <v>50994</v>
      </c>
      <c r="P84" s="7">
        <v>59884.571428571428</v>
      </c>
      <c r="Q84" s="7">
        <v>67423.199999999997</v>
      </c>
      <c r="R84" s="7">
        <v>51037.3</v>
      </c>
      <c r="S84" s="7">
        <v>40105.75</v>
      </c>
      <c r="T84" s="7">
        <v>72616</v>
      </c>
    </row>
    <row r="85" spans="7:20" x14ac:dyDescent="0.25">
      <c r="G85" s="6" t="s">
        <v>21</v>
      </c>
      <c r="H85" s="7">
        <v>76405.666666666672</v>
      </c>
      <c r="I85" s="7">
        <v>47964.666666666664</v>
      </c>
      <c r="J85" s="7">
        <v>48130</v>
      </c>
      <c r="K85" s="7">
        <v>61306.222222222219</v>
      </c>
      <c r="L85" s="7">
        <v>55218.333333333336</v>
      </c>
      <c r="M85" s="7">
        <v>58909</v>
      </c>
      <c r="N85" s="7">
        <v>69800.666666666672</v>
      </c>
      <c r="O85" s="7">
        <v>60903.222222222219</v>
      </c>
      <c r="P85" s="7">
        <v>58263.8</v>
      </c>
      <c r="Q85" s="7">
        <v>53353.5</v>
      </c>
      <c r="R85" s="7">
        <v>39425.555555555555</v>
      </c>
      <c r="S85" s="7">
        <v>42916.333333333336</v>
      </c>
      <c r="T85" s="7"/>
    </row>
    <row r="86" spans="7:20" x14ac:dyDescent="0.25">
      <c r="G86" s="6" t="s">
        <v>8</v>
      </c>
      <c r="H86" s="7">
        <v>46353.428571428572</v>
      </c>
      <c r="I86" s="7">
        <v>43239.6</v>
      </c>
      <c r="J86" s="7">
        <v>55074.428571428572</v>
      </c>
      <c r="K86" s="7">
        <v>68025.75</v>
      </c>
      <c r="L86" s="7">
        <v>59309.375</v>
      </c>
      <c r="M86" s="7">
        <v>55966</v>
      </c>
      <c r="N86" s="7">
        <v>35121.166666666664</v>
      </c>
      <c r="O86" s="7">
        <v>67793.333333333328</v>
      </c>
      <c r="P86" s="7">
        <v>55472.63636363636</v>
      </c>
      <c r="Q86" s="7">
        <v>57103.4</v>
      </c>
      <c r="R86" s="7">
        <v>36966</v>
      </c>
      <c r="S86" s="7">
        <v>59120</v>
      </c>
      <c r="T86" s="7"/>
    </row>
    <row r="87" spans="7:20" x14ac:dyDescent="0.25">
      <c r="G87" s="6" t="s">
        <v>37</v>
      </c>
      <c r="H87" s="7">
        <v>48506.3</v>
      </c>
      <c r="I87" s="7">
        <v>49041.777777777781</v>
      </c>
      <c r="J87" s="7">
        <v>77987.181818181823</v>
      </c>
      <c r="K87" s="7">
        <v>44676</v>
      </c>
      <c r="L87" s="7">
        <v>61315.625</v>
      </c>
      <c r="M87" s="7">
        <v>68124</v>
      </c>
      <c r="N87" s="7">
        <v>49470.8</v>
      </c>
      <c r="O87" s="7">
        <v>44942</v>
      </c>
      <c r="P87" s="7">
        <v>66123.399999999994</v>
      </c>
      <c r="Q87" s="7">
        <v>50604</v>
      </c>
      <c r="R87" s="7">
        <v>63358.857142857145</v>
      </c>
      <c r="S87" s="7">
        <v>47462.571428571428</v>
      </c>
      <c r="T87" s="7"/>
    </row>
    <row r="88" spans="7:20" x14ac:dyDescent="0.25">
      <c r="G88" s="6" t="s">
        <v>53</v>
      </c>
      <c r="H88" s="7">
        <v>44754.333333333336</v>
      </c>
      <c r="I88" s="7">
        <v>45179.222222222219</v>
      </c>
      <c r="J88" s="7">
        <v>44452.666666666664</v>
      </c>
      <c r="K88" s="7">
        <v>55433.583333333336</v>
      </c>
      <c r="L88" s="7">
        <v>54936</v>
      </c>
      <c r="M88" s="7">
        <v>61314</v>
      </c>
      <c r="N88" s="7">
        <v>55566.888888888891</v>
      </c>
      <c r="O88" s="7">
        <v>47789.375</v>
      </c>
      <c r="P88" s="7">
        <v>63799.199999999997</v>
      </c>
      <c r="Q88" s="7">
        <v>52095</v>
      </c>
      <c r="R88" s="7">
        <v>60353.666666666664</v>
      </c>
      <c r="S88" s="7">
        <v>36990.6</v>
      </c>
      <c r="T88" s="7"/>
    </row>
    <row r="89" spans="7:20" x14ac:dyDescent="0.25">
      <c r="G89" s="6" t="s">
        <v>10</v>
      </c>
      <c r="H89" s="7">
        <v>48549.2</v>
      </c>
      <c r="I89" s="7">
        <v>48180.181818181816</v>
      </c>
      <c r="J89" s="7">
        <v>64772.181818181816</v>
      </c>
      <c r="K89" s="7">
        <v>59011.833333333336</v>
      </c>
      <c r="L89" s="7">
        <v>46426.8</v>
      </c>
      <c r="M89" s="7">
        <v>65591</v>
      </c>
      <c r="N89" s="7">
        <v>48941.75</v>
      </c>
      <c r="O89" s="7">
        <v>52242.333333333336</v>
      </c>
      <c r="P89" s="7">
        <v>61542.571428571428</v>
      </c>
      <c r="Q89" s="7">
        <v>46791.428571428572</v>
      </c>
      <c r="R89" s="7">
        <v>36414</v>
      </c>
      <c r="S89" s="7">
        <v>57544.444444444445</v>
      </c>
      <c r="T89" s="7"/>
    </row>
    <row r="90" spans="7:20" x14ac:dyDescent="0.25">
      <c r="G90" s="6" t="s">
        <v>55</v>
      </c>
      <c r="H90" s="7">
        <v>58728</v>
      </c>
      <c r="I90" s="7">
        <v>44638.5</v>
      </c>
      <c r="J90" s="7">
        <v>46710.857142857145</v>
      </c>
      <c r="K90" s="7">
        <v>51885.818181818184</v>
      </c>
      <c r="L90" s="7">
        <v>42874.2</v>
      </c>
      <c r="M90" s="7">
        <v>59880.666666666664</v>
      </c>
      <c r="N90" s="7">
        <v>50191.125</v>
      </c>
      <c r="O90" s="7">
        <v>42576.75</v>
      </c>
      <c r="P90" s="7">
        <v>50421.285714285717</v>
      </c>
      <c r="Q90" s="7">
        <v>72153.5</v>
      </c>
      <c r="R90" s="7">
        <v>50633.285714285717</v>
      </c>
      <c r="S90" s="7">
        <v>23353.25</v>
      </c>
      <c r="T90" s="7"/>
    </row>
    <row r="91" spans="7:20" x14ac:dyDescent="0.25">
      <c r="G91" s="6" t="s">
        <v>35</v>
      </c>
      <c r="H91" s="7">
        <v>58445.5</v>
      </c>
      <c r="I91" s="7">
        <v>38455.666666666664</v>
      </c>
      <c r="J91" s="7">
        <v>66649.5</v>
      </c>
      <c r="K91" s="7">
        <v>41626.400000000001</v>
      </c>
      <c r="L91" s="7">
        <v>44686.75</v>
      </c>
      <c r="M91" s="7">
        <v>55420.2</v>
      </c>
      <c r="N91" s="7">
        <v>52688.142857142855</v>
      </c>
      <c r="O91" s="7">
        <v>41761.333333333336</v>
      </c>
      <c r="P91" s="7">
        <v>78364</v>
      </c>
      <c r="Q91" s="7">
        <v>45738.8</v>
      </c>
      <c r="R91" s="7">
        <v>62908.857142857145</v>
      </c>
      <c r="S91" s="7">
        <v>86870</v>
      </c>
      <c r="T91" s="7">
        <v>40286</v>
      </c>
    </row>
    <row r="92" spans="7:20" x14ac:dyDescent="0.25">
      <c r="G92" s="6" t="s">
        <v>75</v>
      </c>
      <c r="H92" s="7">
        <v>52184</v>
      </c>
      <c r="I92" s="7">
        <v>44779</v>
      </c>
      <c r="J92" s="7">
        <v>53707</v>
      </c>
      <c r="K92" s="7">
        <v>34611.300000000003</v>
      </c>
      <c r="L92" s="7">
        <v>72848</v>
      </c>
      <c r="M92" s="7">
        <v>55414.5</v>
      </c>
      <c r="N92" s="7">
        <v>64204</v>
      </c>
      <c r="O92" s="7">
        <v>54277</v>
      </c>
      <c r="P92" s="7">
        <v>62214.5</v>
      </c>
      <c r="Q92" s="7">
        <v>56541.833333333336</v>
      </c>
      <c r="R92" s="7">
        <v>50053.714285714283</v>
      </c>
      <c r="S92" s="7">
        <v>65575.875</v>
      </c>
      <c r="T92" s="7"/>
    </row>
    <row r="93" spans="7:20" x14ac:dyDescent="0.25">
      <c r="G93" s="6" t="s">
        <v>29</v>
      </c>
      <c r="H93" s="7">
        <v>51498.857142857145</v>
      </c>
      <c r="I93" s="7">
        <v>52071.75</v>
      </c>
      <c r="J93" s="7">
        <v>67088.800000000003</v>
      </c>
      <c r="K93" s="7">
        <v>59600.555555555555</v>
      </c>
      <c r="L93" s="7">
        <v>64874.3</v>
      </c>
      <c r="M93" s="7">
        <v>71044.875</v>
      </c>
      <c r="N93" s="7">
        <v>54655.25</v>
      </c>
      <c r="O93" s="7">
        <v>45277.599999999999</v>
      </c>
      <c r="P93" s="7">
        <v>47576.4</v>
      </c>
      <c r="Q93" s="7">
        <v>31693.666666666668</v>
      </c>
      <c r="R93" s="7">
        <v>65779.833333333328</v>
      </c>
      <c r="S93" s="7">
        <v>61022.285714285717</v>
      </c>
      <c r="T93" s="7">
        <v>38479</v>
      </c>
    </row>
    <row r="94" spans="7:20" x14ac:dyDescent="0.25">
      <c r="G94" s="6" t="s">
        <v>5</v>
      </c>
      <c r="H94" s="7">
        <v>56370.928571428572</v>
      </c>
      <c r="I94" s="7">
        <v>42921.599999999999</v>
      </c>
      <c r="J94" s="7">
        <v>51049.7</v>
      </c>
      <c r="K94" s="7">
        <v>50431.916666666664</v>
      </c>
      <c r="L94" s="7">
        <v>60776.36363636364</v>
      </c>
      <c r="M94" s="7">
        <v>65764.333333333328</v>
      </c>
      <c r="N94" s="7">
        <v>73722.666666666672</v>
      </c>
      <c r="O94" s="7">
        <v>69754.600000000006</v>
      </c>
      <c r="P94" s="7">
        <v>59881.2</v>
      </c>
      <c r="Q94" s="7">
        <v>46978.5</v>
      </c>
      <c r="R94" s="7">
        <v>55076.166666666664</v>
      </c>
      <c r="S94" s="7">
        <v>44779.333333333336</v>
      </c>
      <c r="T94" s="7"/>
    </row>
    <row r="95" spans="7:20" x14ac:dyDescent="0.25">
      <c r="G95" s="6" t="s">
        <v>14</v>
      </c>
      <c r="H95" s="7">
        <v>46946.400000000001</v>
      </c>
      <c r="I95" s="7">
        <v>62600.714285714283</v>
      </c>
      <c r="J95" s="7">
        <v>47804.5</v>
      </c>
      <c r="K95" s="7">
        <v>28294.5</v>
      </c>
      <c r="L95" s="7">
        <v>54578.571428571428</v>
      </c>
      <c r="M95" s="7">
        <v>42501</v>
      </c>
      <c r="N95" s="7">
        <v>70511</v>
      </c>
      <c r="O95" s="7">
        <v>43640.111111111109</v>
      </c>
      <c r="P95" s="7">
        <v>43382.333333333336</v>
      </c>
      <c r="Q95" s="7">
        <v>51029.571428571428</v>
      </c>
      <c r="R95" s="7">
        <v>34012</v>
      </c>
      <c r="S95" s="7">
        <v>48752.222222222219</v>
      </c>
      <c r="T95" s="7"/>
    </row>
  </sheetData>
  <sortState ref="G3:K14">
    <sortCondition ref="G3:G14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Макаров</cp:lastModifiedBy>
  <dcterms:created xsi:type="dcterms:W3CDTF">2025-11-13T20:18:28Z</dcterms:created>
  <dcterms:modified xsi:type="dcterms:W3CDTF">2026-10-06T22:10:12Z</dcterms:modified>
</cp:coreProperties>
</file>